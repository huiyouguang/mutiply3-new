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会议费预算" sheetId="1" r:id="rId1"/>
  </sheets>
  <calcPr calcId="144525"/>
</workbook>
</file>

<file path=xl/sharedStrings.xml><?xml version="1.0" encoding="utf-8"?>
<sst xmlns="http://schemas.openxmlformats.org/spreadsheetml/2006/main" count="38" uniqueCount="28">
  <si>
    <t>某公司20XX年度会议费预算</t>
  </si>
  <si>
    <t>会议名称</t>
  </si>
  <si>
    <t>会议目的</t>
  </si>
  <si>
    <t>举办部门</t>
  </si>
  <si>
    <t>举办地点</t>
  </si>
  <si>
    <t>会议天数</t>
  </si>
  <si>
    <t xml:space="preserve"> 参加人数</t>
  </si>
  <si>
    <t>物料制作</t>
  </si>
  <si>
    <t>场租</t>
  </si>
  <si>
    <t>交通</t>
  </si>
  <si>
    <t>住宿</t>
  </si>
  <si>
    <t>纪念品</t>
  </si>
  <si>
    <t>餐饮</t>
  </si>
  <si>
    <t>团建</t>
  </si>
  <si>
    <t>外部咨询顾问</t>
  </si>
  <si>
    <t>其他</t>
  </si>
  <si>
    <t>预算金额</t>
  </si>
  <si>
    <t>标准</t>
  </si>
  <si>
    <t>金额</t>
  </si>
  <si>
    <t>年度表彰、发钱、签军令状</t>
  </si>
  <si>
    <t>集团总部运营中心</t>
  </si>
  <si>
    <t>北京</t>
  </si>
  <si>
    <t>销售技巧培训</t>
  </si>
  <si>
    <t>营销事业部</t>
  </si>
  <si>
    <t>深圳</t>
  </si>
  <si>
    <t>全员业绩冲刺动员</t>
  </si>
  <si>
    <t>—</t>
  </si>
  <si>
    <t>编制说明：
1.会议目的。资源使用是为目的服务。因此，首先要明确会议的目的。即，要召开会议是为了解决什么问题。除了开会以外，是否还有更有效、更节约的手段。
2.确定会议规模、会议地点、场所的选择，以及参加的人数等。检查会议与需要解决的问题之间的关联程度，避免将会议开成借题发挥的“福利会议”。
3.事前设定会议支出。避免召开“神仙会”“老鼠会”“旅游会”等没有效果的花钱会议。控制会议升级、会议延期、会议超编等问题。
4.明确会议费预算所包括的内容。防止在会计核算时与其他类似费用发生混淆。
5.会议费的成本动因有参会人数、交通费、住宿费、餐费、设备场租费、资料费等。其中，根本的动因是参会的人数。预算金额可根据动因测算。
6.会议费预算应放在举办部门的负责人名下进行考核、控制，避免出现管理真空。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</si>
</sst>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  <numFmt numFmtId="177" formatCode="#,##0_ "/>
  </numFmts>
  <fonts count="25">
    <font>
      <sz val="11"/>
      <color theme="1"/>
      <name val="等线"/>
      <charset val="134"/>
      <scheme val="minor"/>
    </font>
    <font>
      <sz val="11"/>
      <color theme="1"/>
      <name val="Microsoft YaHei Light"/>
      <charset val="134"/>
    </font>
    <font>
      <b/>
      <sz val="20"/>
      <color theme="1"/>
      <name val="Microsoft YaHei Light"/>
      <charset val="134"/>
    </font>
    <font>
      <b/>
      <sz val="12"/>
      <color theme="2" tint="-0.899990844447157"/>
      <name val="Microsoft YaHei Light"/>
      <charset val="134"/>
    </font>
    <font>
      <sz val="12"/>
      <color rgb="FF000000"/>
      <name val="Microsoft YaHei Light"/>
      <charset val="134"/>
    </font>
    <font>
      <sz val="14"/>
      <color theme="1"/>
      <name val="Microsoft YaHei Light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2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27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30" applyNumberFormat="0" applyAlignment="0" applyProtection="0">
      <alignment vertical="center"/>
    </xf>
    <xf numFmtId="0" fontId="19" fillId="13" borderId="26" applyNumberFormat="0" applyAlignment="0" applyProtection="0">
      <alignment vertical="center"/>
    </xf>
    <xf numFmtId="0" fontId="20" fillId="14" borderId="31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Continuous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4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77" fontId="4" fillId="0" borderId="8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177" fontId="4" fillId="3" borderId="1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4" fillId="0" borderId="9" xfId="0" applyNumberFormat="1" applyFont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177" fontId="4" fillId="3" borderId="15" xfId="0" applyNumberFormat="1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176" fontId="3" fillId="2" borderId="20" xfId="0" applyNumberFormat="1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76" fontId="3" fillId="2" borderId="21" xfId="0" applyNumberFormat="1" applyFont="1" applyFill="1" applyBorder="1" applyAlignment="1">
      <alignment horizontal="center" vertical="center" wrapText="1"/>
    </xf>
    <xf numFmtId="177" fontId="4" fillId="0" borderId="22" xfId="0" applyNumberFormat="1" applyFont="1" applyBorder="1" applyAlignment="1">
      <alignment horizontal="center" vertical="center" wrapText="1"/>
    </xf>
    <xf numFmtId="177" fontId="4" fillId="0" borderId="23" xfId="0" applyNumberFormat="1" applyFont="1" applyBorder="1" applyAlignment="1">
      <alignment horizontal="center" vertical="center" wrapText="1"/>
    </xf>
    <xf numFmtId="177" fontId="4" fillId="0" borderId="24" xfId="0" applyNumberFormat="1" applyFont="1" applyBorder="1" applyAlignment="1">
      <alignment horizontal="center" vertical="center" wrapText="1"/>
    </xf>
    <xf numFmtId="177" fontId="4" fillId="3" borderId="2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19"/>
  <sheetViews>
    <sheetView showGridLines="0" tabSelected="1" zoomScale="77" zoomScaleNormal="77" workbookViewId="0">
      <selection activeCell="W25" sqref="W25"/>
    </sheetView>
  </sheetViews>
  <sheetFormatPr defaultColWidth="9" defaultRowHeight="15.6"/>
  <cols>
    <col min="1" max="1" width="3.41666666666667" style="1" customWidth="1"/>
    <col min="2" max="2" width="10.8148148148148" style="1" customWidth="1"/>
    <col min="3" max="3" width="12.1203703703704" style="1" customWidth="1"/>
    <col min="4" max="4" width="11.1666666666667" style="1" customWidth="1"/>
    <col min="5" max="5" width="7.92592592592593" style="1" customWidth="1"/>
    <col min="6" max="6" width="6.2037037037037" style="1" customWidth="1"/>
    <col min="7" max="7" width="7.5" style="1" customWidth="1"/>
    <col min="8" max="8" width="10.6666666666667" style="1" customWidth="1"/>
    <col min="9" max="9" width="9.83333333333333" style="1" customWidth="1"/>
    <col min="10" max="10" width="8.75" style="1" customWidth="1"/>
    <col min="11" max="11" width="11.75" style="1" customWidth="1"/>
    <col min="12" max="12" width="8.75" style="1" customWidth="1"/>
    <col min="13" max="13" width="11.25" style="1" customWidth="1"/>
    <col min="14" max="14" width="8.66666666666667" style="1"/>
    <col min="15" max="16" width="8.75" style="1" customWidth="1"/>
    <col min="17" max="17" width="9.66666666666667" style="1" customWidth="1"/>
    <col min="18" max="18" width="8.75" style="1" customWidth="1"/>
    <col min="19" max="20" width="9.83333333333333" style="1" customWidth="1"/>
    <col min="21" max="21" width="8.66666666666667" style="1"/>
    <col min="22" max="22" width="11.75" style="1" customWidth="1"/>
    <col min="23" max="16384" width="8.66666666666667" style="1"/>
  </cols>
  <sheetData>
    <row r="1" ht="10.9" customHeight="1"/>
    <row r="2" ht="29.55" spans="2:22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31.5" customHeight="1" spans="2:22"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27" t="s">
        <v>9</v>
      </c>
      <c r="K3" s="28"/>
      <c r="L3" s="27" t="s">
        <v>10</v>
      </c>
      <c r="M3" s="28"/>
      <c r="N3" s="4" t="s">
        <v>11</v>
      </c>
      <c r="O3" s="4"/>
      <c r="P3" s="4" t="s">
        <v>12</v>
      </c>
      <c r="Q3" s="4"/>
      <c r="R3" s="33" t="s">
        <v>13</v>
      </c>
      <c r="S3" s="33"/>
      <c r="T3" s="34" t="s">
        <v>14</v>
      </c>
      <c r="U3" s="4" t="s">
        <v>15</v>
      </c>
      <c r="V3" s="35" t="s">
        <v>16</v>
      </c>
    </row>
    <row r="4" ht="17.4" spans="2:22">
      <c r="B4" s="5"/>
      <c r="C4" s="5"/>
      <c r="D4" s="6"/>
      <c r="E4" s="6"/>
      <c r="F4" s="6"/>
      <c r="G4" s="7"/>
      <c r="H4" s="7"/>
      <c r="I4" s="6"/>
      <c r="J4" s="6" t="s">
        <v>17</v>
      </c>
      <c r="K4" s="6" t="s">
        <v>18</v>
      </c>
      <c r="L4" s="6" t="s">
        <v>17</v>
      </c>
      <c r="M4" s="6" t="s">
        <v>18</v>
      </c>
      <c r="N4" s="6" t="s">
        <v>17</v>
      </c>
      <c r="O4" s="6" t="s">
        <v>18</v>
      </c>
      <c r="P4" s="6" t="s">
        <v>17</v>
      </c>
      <c r="Q4" s="36" t="s">
        <v>18</v>
      </c>
      <c r="R4" s="36" t="s">
        <v>17</v>
      </c>
      <c r="S4" s="36" t="s">
        <v>18</v>
      </c>
      <c r="T4" s="37"/>
      <c r="U4" s="6"/>
      <c r="V4" s="38"/>
    </row>
    <row r="5" ht="34.8" spans="2:22">
      <c r="B5" s="8"/>
      <c r="C5" s="9" t="s">
        <v>19</v>
      </c>
      <c r="D5" s="9" t="s">
        <v>20</v>
      </c>
      <c r="E5" s="10" t="s">
        <v>21</v>
      </c>
      <c r="F5" s="10">
        <v>5</v>
      </c>
      <c r="G5" s="10">
        <v>500</v>
      </c>
      <c r="H5" s="11">
        <v>20000</v>
      </c>
      <c r="I5" s="29">
        <v>125000</v>
      </c>
      <c r="J5" s="29">
        <v>2000</v>
      </c>
      <c r="K5" s="29">
        <f>G5*J5</f>
        <v>1000000</v>
      </c>
      <c r="L5" s="29">
        <v>200</v>
      </c>
      <c r="M5" s="29">
        <f>G5*L5*F5</f>
        <v>500000</v>
      </c>
      <c r="N5" s="29"/>
      <c r="O5" s="29"/>
      <c r="P5" s="29">
        <v>120</v>
      </c>
      <c r="Q5" s="29">
        <f>$F5*$G5*P5</f>
        <v>300000</v>
      </c>
      <c r="R5" s="29">
        <v>50</v>
      </c>
      <c r="S5" s="29">
        <f>$F5*$G5*R5</f>
        <v>125000</v>
      </c>
      <c r="T5" s="29">
        <v>200000</v>
      </c>
      <c r="U5" s="29">
        <v>5000</v>
      </c>
      <c r="V5" s="39">
        <f>H5+I5+K5+M5+O5+Q5+S5+T5+U5</f>
        <v>2275000</v>
      </c>
    </row>
    <row r="6" ht="34.8" spans="2:22">
      <c r="B6" s="12"/>
      <c r="C6" s="13" t="s">
        <v>22</v>
      </c>
      <c r="D6" s="13" t="s">
        <v>23</v>
      </c>
      <c r="E6" s="14" t="s">
        <v>24</v>
      </c>
      <c r="F6" s="14">
        <v>3</v>
      </c>
      <c r="G6" s="14">
        <v>800</v>
      </c>
      <c r="H6" s="15">
        <v>30000</v>
      </c>
      <c r="I6" s="30">
        <v>75000</v>
      </c>
      <c r="J6" s="30">
        <v>2000</v>
      </c>
      <c r="K6" s="30">
        <f>G6*J6</f>
        <v>1600000</v>
      </c>
      <c r="L6" s="30">
        <v>200</v>
      </c>
      <c r="M6" s="30">
        <f t="shared" ref="M6:M7" si="0">G6*L6*F6</f>
        <v>480000</v>
      </c>
      <c r="N6" s="30"/>
      <c r="O6" s="30"/>
      <c r="P6" s="30">
        <v>120</v>
      </c>
      <c r="Q6" s="30">
        <f t="shared" ref="Q6:S7" si="1">$F6*$G6*P6</f>
        <v>288000</v>
      </c>
      <c r="R6" s="30">
        <v>50</v>
      </c>
      <c r="S6" s="30">
        <f t="shared" si="1"/>
        <v>120000</v>
      </c>
      <c r="T6" s="30">
        <v>150000</v>
      </c>
      <c r="U6" s="30">
        <v>5000</v>
      </c>
      <c r="V6" s="40">
        <f>H6+I6+K6+M6+O6+Q6+S6+T6+U6</f>
        <v>2748000</v>
      </c>
    </row>
    <row r="7" ht="34.8" spans="2:22">
      <c r="B7" s="12"/>
      <c r="C7" s="13" t="s">
        <v>25</v>
      </c>
      <c r="D7" s="13" t="s">
        <v>23</v>
      </c>
      <c r="E7" s="14" t="s">
        <v>21</v>
      </c>
      <c r="F7" s="14">
        <v>3</v>
      </c>
      <c r="G7" s="14">
        <v>500</v>
      </c>
      <c r="H7" s="15">
        <v>20000</v>
      </c>
      <c r="I7" s="30">
        <v>90000</v>
      </c>
      <c r="J7" s="30">
        <v>2000</v>
      </c>
      <c r="K7" s="30">
        <f>G7*J7</f>
        <v>1000000</v>
      </c>
      <c r="L7" s="30">
        <v>200</v>
      </c>
      <c r="M7" s="30">
        <f t="shared" si="0"/>
        <v>300000</v>
      </c>
      <c r="N7" s="30"/>
      <c r="O7" s="30"/>
      <c r="P7" s="30">
        <v>120</v>
      </c>
      <c r="Q7" s="30">
        <f t="shared" si="1"/>
        <v>180000</v>
      </c>
      <c r="R7" s="30">
        <v>50</v>
      </c>
      <c r="S7" s="30">
        <f t="shared" si="1"/>
        <v>75000</v>
      </c>
      <c r="T7" s="30">
        <v>150000</v>
      </c>
      <c r="U7" s="30">
        <v>5000</v>
      </c>
      <c r="V7" s="40">
        <f>H7+I7+K7+M7+O7+Q7+S7+T7+U7</f>
        <v>1820000</v>
      </c>
    </row>
    <row r="8" ht="17.4" spans="2:22">
      <c r="B8" s="16"/>
      <c r="C8" s="17"/>
      <c r="D8" s="17"/>
      <c r="E8" s="18"/>
      <c r="F8" s="18"/>
      <c r="G8" s="18"/>
      <c r="H8" s="19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41"/>
    </row>
    <row r="9" ht="18.15" spans="2:22">
      <c r="B9" s="20"/>
      <c r="C9" s="21"/>
      <c r="D9" s="22"/>
      <c r="E9" s="22"/>
      <c r="F9" s="23"/>
      <c r="G9" s="23"/>
      <c r="H9" s="24">
        <f>SUM(H5:H8)</f>
        <v>70000</v>
      </c>
      <c r="I9" s="32">
        <f>SUM(I5:I8)</f>
        <v>290000</v>
      </c>
      <c r="J9" s="32"/>
      <c r="K9" s="32">
        <f>SUM(K5:K8)</f>
        <v>3600000</v>
      </c>
      <c r="L9" s="32"/>
      <c r="M9" s="32">
        <f>SUM(M5:M8)</f>
        <v>1280000</v>
      </c>
      <c r="N9" s="22" t="s">
        <v>26</v>
      </c>
      <c r="O9" s="32">
        <f>SUM(O5:O8)</f>
        <v>0</v>
      </c>
      <c r="P9" s="22"/>
      <c r="Q9" s="32">
        <f>SUM(Q5:Q8)</f>
        <v>768000</v>
      </c>
      <c r="R9" s="22"/>
      <c r="S9" s="32">
        <f>SUM(S5:S8)</f>
        <v>320000</v>
      </c>
      <c r="T9" s="32">
        <f>SUM(T5:T8)</f>
        <v>500000</v>
      </c>
      <c r="U9" s="32">
        <f>SUM(U5:U8)</f>
        <v>15000</v>
      </c>
      <c r="V9" s="42">
        <f>SUM(V5:V8)</f>
        <v>6843000</v>
      </c>
    </row>
    <row r="11" spans="2:22">
      <c r="B11" s="25" t="s">
        <v>27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 spans="2:22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 spans="2:22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spans="2:22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spans="2:22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spans="2:22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spans="2:22"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spans="2:22"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 spans="2:22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</sheetData>
  <mergeCells count="17">
    <mergeCell ref="J3:K3"/>
    <mergeCell ref="L3:M3"/>
    <mergeCell ref="N3:O3"/>
    <mergeCell ref="P3:Q3"/>
    <mergeCell ref="R3:S3"/>
    <mergeCell ref="B3:B4"/>
    <mergeCell ref="C3:C4"/>
    <mergeCell ref="D3:D4"/>
    <mergeCell ref="E3:E4"/>
    <mergeCell ref="F3:F4"/>
    <mergeCell ref="G3:G4"/>
    <mergeCell ref="H3:H4"/>
    <mergeCell ref="I3:I4"/>
    <mergeCell ref="T3:T4"/>
    <mergeCell ref="U3:U4"/>
    <mergeCell ref="V3:V4"/>
    <mergeCell ref="B11:V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会议费预算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陈东捷</cp:lastModifiedBy>
  <dcterms:created xsi:type="dcterms:W3CDTF">2021-09-22T09:39:00Z</dcterms:created>
  <dcterms:modified xsi:type="dcterms:W3CDTF">2022-12-03T16:06:45Z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6AC1DE6B6E294C84878E52D4390E236D</vt:lpwstr>
  </property>
  <property fmtid="{D5CDD505-2E9C-101B-9397-08002B2CF9AE}" pid="3" name="KSOProductBuildVer">
    <vt:lpwstr>2052-11.1.0.12763</vt:lpwstr>
  </property>
</Properties>
</file>