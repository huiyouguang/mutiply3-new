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65" activeTab="1"/>
  </bookViews>
  <sheets>
    <sheet name="培训费预算" sheetId="1" r:id="rId1"/>
    <sheet name="员工培训确认及评价表" sheetId="2" r:id="rId2"/>
  </sheets>
  <calcPr calcId="144525"/>
</workbook>
</file>

<file path=xl/sharedStrings.xml><?xml version="1.0" encoding="utf-8"?>
<sst xmlns="http://schemas.openxmlformats.org/spreadsheetml/2006/main" count="67" uniqueCount="62">
  <si>
    <t>某公司20XX年培训费预算</t>
  </si>
  <si>
    <t>培训对象</t>
  </si>
  <si>
    <t>培训内容</t>
  </si>
  <si>
    <t>培训方式</t>
  </si>
  <si>
    <t>受训人数</t>
  </si>
  <si>
    <t>培训天数</t>
  </si>
  <si>
    <t>培训人天数</t>
  </si>
  <si>
    <t>学费</t>
  </si>
  <si>
    <t>教材费</t>
  </si>
  <si>
    <t>制作费</t>
  </si>
  <si>
    <t>差旅费</t>
  </si>
  <si>
    <t>其他</t>
  </si>
  <si>
    <t>预算金额</t>
  </si>
  <si>
    <t>部门经理及以上干部</t>
  </si>
  <si>
    <t>财务管理</t>
  </si>
  <si>
    <t>外训</t>
  </si>
  <si>
    <t>核心高管</t>
  </si>
  <si>
    <t>绩效管理</t>
  </si>
  <si>
    <t>销售区域经理</t>
  </si>
  <si>
    <t>营销技能</t>
  </si>
  <si>
    <t>销售主管</t>
  </si>
  <si>
    <t xml:space="preserve">销售员  </t>
  </si>
  <si>
    <t>产品知识</t>
  </si>
  <si>
    <t>内训</t>
  </si>
  <si>
    <t>合计</t>
  </si>
  <si>
    <t>编制说明：</t>
  </si>
  <si>
    <t>1. 企业还要明确培训费的预算口径，规定培训费的会计核算内容和方法。与培训有关的费用，如讲师费、教材费、制作费、差旅费等要准确地记入该预算项目。</t>
  </si>
  <si>
    <t>如果不予明确，会计就有可能按照惯例将“教材费”记入“办公用品”，将“培训差旅费”记人“商务差旅费”中，结果使预算控制失去基准。</t>
  </si>
  <si>
    <t>2. 培训是公司为提高员工工作效率和改进工作技能而对员工进行的再教育。培训不可以成为普及教育，而是应该坚持向骨干倾斜，向有提升空间的人倾斜的政策。</t>
  </si>
  <si>
    <t>不能出现“真正干活儿的人，没时间培训；不干活儿的人天天培训”的现象。</t>
  </si>
  <si>
    <t>3.人力资源部门和用人部门首先要对培训岗位的工作业绩和工作技能进行评价，对有关岗位的培训需求进行评估，针对不同岗位制定不同的培训内容。</t>
  </si>
  <si>
    <t>4.不同培训方式和持续时间的不同，决定培训开支的大小。人力资源部门要考虑哪种培训方式最为有效。</t>
  </si>
  <si>
    <t>5.不鼓励不安排完成“接受X次培训”的培训任务。</t>
  </si>
  <si>
    <t>6.要监控培训效果。可以通过后附《员工培训确认及评价表》对培训效果进行监控。</t>
  </si>
  <si>
    <t>员工培训确认及评价表</t>
  </si>
  <si>
    <t>姓名</t>
  </si>
  <si>
    <t>所在部门</t>
  </si>
  <si>
    <t>员工号</t>
  </si>
  <si>
    <t>报告对象</t>
  </si>
  <si>
    <t>课程名称</t>
  </si>
  <si>
    <t>主讲老师</t>
  </si>
  <si>
    <t>主办单位</t>
  </si>
  <si>
    <t>预算科目</t>
  </si>
  <si>
    <t>参加理由</t>
  </si>
  <si>
    <t xml:space="preserve">本次课程费用预算
</t>
  </si>
  <si>
    <t>1.讲课费用
2.差旅费用
3.其他费用</t>
  </si>
  <si>
    <t>举办地点</t>
  </si>
  <si>
    <t>举办时间</t>
  </si>
  <si>
    <t xml:space="preserve">申请人签字
</t>
  </si>
  <si>
    <t xml:space="preserve">授权人签字
</t>
  </si>
  <si>
    <t xml:space="preserve">    </t>
  </si>
  <si>
    <t xml:space="preserve">老师评价意见
</t>
  </si>
  <si>
    <r>
      <rPr>
        <sz val="12"/>
        <color rgb="FF000000"/>
        <rFont val="思源黑体 CN Normal"/>
        <charset val="128"/>
      </rPr>
      <t xml:space="preserve">1.该学员是否按时到课?      </t>
    </r>
    <r>
      <rPr>
        <sz val="12"/>
        <color rgb="FF000000"/>
        <rFont val="Microsoft YaHei Light"/>
        <charset val="134"/>
      </rPr>
      <t xml:space="preserve">      </t>
    </r>
    <r>
      <rPr>
        <sz val="12"/>
        <color rgb="FF000000"/>
        <rFont val="思源黑体 CN Normal"/>
        <charset val="128"/>
      </rPr>
      <t xml:space="preserve">     是     否
2.该学员是否向老师提问?    </t>
    </r>
    <r>
      <rPr>
        <sz val="12"/>
        <color rgb="FF000000"/>
        <rFont val="Microsoft YaHei Light"/>
        <charset val="134"/>
      </rPr>
      <t xml:space="preserve">          </t>
    </r>
    <r>
      <rPr>
        <sz val="12"/>
        <color rgb="FF000000"/>
        <rFont val="思源黑体 CN Normal"/>
        <charset val="128"/>
      </rPr>
      <t xml:space="preserve">   是     否
3.该学员是否参与讨论?      </t>
    </r>
    <r>
      <rPr>
        <sz val="12"/>
        <color rgb="FF000000"/>
        <rFont val="Microsoft YaHei Light"/>
        <charset val="134"/>
      </rPr>
      <t xml:space="preserve">               </t>
    </r>
    <r>
      <rPr>
        <sz val="12"/>
        <color rgb="FF000000"/>
        <rFont val="思源黑体 CN Normal"/>
        <charset val="128"/>
      </rPr>
      <t xml:space="preserve">是     否  
4.该学员是否完成作业?     </t>
    </r>
    <r>
      <rPr>
        <sz val="12"/>
        <color rgb="FF000000"/>
        <rFont val="Microsoft YaHei Light"/>
        <charset val="134"/>
      </rPr>
      <t xml:space="preserve">             </t>
    </r>
    <r>
      <rPr>
        <sz val="12"/>
        <color rgb="FF000000"/>
        <rFont val="思源黑体 CN Normal"/>
        <charset val="128"/>
      </rPr>
      <t xml:space="preserve">  是     否
5.该学员中间有否离场?     </t>
    </r>
    <r>
      <rPr>
        <sz val="12"/>
        <color rgb="FF000000"/>
        <rFont val="Microsoft YaHei Light"/>
        <charset val="134"/>
      </rPr>
      <t xml:space="preserve">             </t>
    </r>
    <r>
      <rPr>
        <sz val="12"/>
        <color rgb="FF000000"/>
        <rFont val="思源黑体 CN Normal"/>
        <charset val="128"/>
      </rPr>
      <t xml:space="preserve">  是     否</t>
    </r>
  </si>
  <si>
    <t xml:space="preserve">老师签字
</t>
  </si>
  <si>
    <t xml:space="preserve">  参加人签字
</t>
  </si>
  <si>
    <t xml:space="preserve">    培训效果评价</t>
  </si>
  <si>
    <t>您参加本次培训的主要收获是：</t>
  </si>
  <si>
    <t>您认为在工作中的可以应用的是：</t>
  </si>
  <si>
    <t>授权人评价</t>
  </si>
  <si>
    <t>培训部门评价意见</t>
  </si>
  <si>
    <t>□优秀
□良好
□一般
□较差</t>
  </si>
  <si>
    <t>这是一项非常到位的培训行为内控措施。
第一部分实际上是预算控制；
第二部分是行为控制，对于那些把培训当旅游的人、点名就走的人是个很好的监控措施；
第三部分是效果评价，如果评价为一般以下，人力资源部门就会在年终的培训老师考评时扣分。如果老师讲得很烂，学员要在争取全部或部分退款后，立即返回工作岗位，并在表上写出对老师和课程的评价。该老师和培训公司将成为公司培训“黑名单”上的一名，以后公司不再安排任何人参加该老师的培训。</t>
  </si>
</sst>
</file>

<file path=xl/styles.xml><?xml version="1.0" encoding="utf-8"?>
<styleSheet xmlns="http://schemas.openxmlformats.org/spreadsheetml/2006/main">
  <numFmts count="7">
    <numFmt numFmtId="176" formatCode="#,##0_ "/>
    <numFmt numFmtId="177" formatCode="_ * #,##0_ ;_ * \-#,##0_ ;_ * &quot;-&quot;??_ ;_ @_ "/>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8" formatCode="#,##0_);[Red]\(#,##0\)"/>
  </numFmts>
  <fonts count="28">
    <font>
      <sz val="11"/>
      <color theme="1"/>
      <name val="等线"/>
      <charset val="134"/>
      <scheme val="minor"/>
    </font>
    <font>
      <b/>
      <sz val="20"/>
      <color theme="1"/>
      <name val="微软雅黑"/>
      <charset val="134"/>
    </font>
    <font>
      <sz val="12"/>
      <color rgb="FF000000"/>
      <name val="思源黑体 CN Normal"/>
      <charset val="134"/>
    </font>
    <font>
      <sz val="12"/>
      <color rgb="FF000000"/>
      <name val="思源黑体 CN Normal"/>
      <charset val="128"/>
    </font>
    <font>
      <sz val="11"/>
      <color theme="1"/>
      <name val="Microsoft YaHei Light"/>
      <charset val="134"/>
    </font>
    <font>
      <b/>
      <sz val="20"/>
      <color theme="1"/>
      <name val="Microsoft YaHei Light"/>
      <charset val="134"/>
    </font>
    <font>
      <b/>
      <sz val="12"/>
      <color theme="2" tint="-0.899990844447157"/>
      <name val="Microsoft YaHei Light"/>
      <charset val="134"/>
    </font>
    <font>
      <sz val="12"/>
      <color rgb="FF000000"/>
      <name val="Microsoft YaHei Light"/>
      <charset val="134"/>
    </font>
    <font>
      <sz val="11"/>
      <color theme="1"/>
      <name val="等线"/>
      <charset val="134"/>
      <scheme val="minor"/>
    </font>
    <font>
      <sz val="11"/>
      <color theme="0"/>
      <name val="等线"/>
      <charset val="0"/>
      <scheme val="minor"/>
    </font>
    <font>
      <sz val="11"/>
      <color theme="1"/>
      <name val="等线"/>
      <charset val="0"/>
      <scheme val="minor"/>
    </font>
    <font>
      <b/>
      <sz val="11"/>
      <color theme="3"/>
      <name val="等线"/>
      <charset val="134"/>
      <scheme val="minor"/>
    </font>
    <font>
      <sz val="11"/>
      <color rgb="FF9C0006"/>
      <name val="等线"/>
      <charset val="0"/>
      <scheme val="minor"/>
    </font>
    <font>
      <sz val="11"/>
      <color rgb="FF9C6500"/>
      <name val="等线"/>
      <charset val="0"/>
      <scheme val="minor"/>
    </font>
    <font>
      <sz val="11"/>
      <color rgb="FF3F3F76"/>
      <name val="等线"/>
      <charset val="0"/>
      <scheme val="minor"/>
    </font>
    <font>
      <b/>
      <sz val="11"/>
      <color rgb="FFFA7D00"/>
      <name val="等线"/>
      <charset val="0"/>
      <scheme val="minor"/>
    </font>
    <font>
      <b/>
      <sz val="11"/>
      <color rgb="FF3F3F3F"/>
      <name val="等线"/>
      <charset val="0"/>
      <scheme val="minor"/>
    </font>
    <font>
      <u/>
      <sz val="11"/>
      <color rgb="FF0000FF"/>
      <name val="等线"/>
      <charset val="0"/>
      <scheme val="minor"/>
    </font>
    <font>
      <u/>
      <sz val="11"/>
      <color rgb="FF800080"/>
      <name val="等线"/>
      <charset val="0"/>
      <scheme val="minor"/>
    </font>
    <font>
      <b/>
      <sz val="18"/>
      <color theme="3"/>
      <name val="等线"/>
      <charset val="134"/>
      <scheme val="minor"/>
    </font>
    <font>
      <sz val="11"/>
      <color rgb="FFFF0000"/>
      <name val="等线"/>
      <charset val="0"/>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FFFFFF"/>
      <name val="等线"/>
      <charset val="0"/>
      <scheme val="minor"/>
    </font>
    <font>
      <b/>
      <sz val="11"/>
      <color theme="1"/>
      <name val="等线"/>
      <charset val="0"/>
      <scheme val="minor"/>
    </font>
    <font>
      <sz val="11"/>
      <color rgb="FFFA7D00"/>
      <name val="等线"/>
      <charset val="0"/>
      <scheme val="minor"/>
    </font>
    <font>
      <sz val="11"/>
      <color rgb="FF006100"/>
      <name val="等线"/>
      <charset val="0"/>
      <scheme val="minor"/>
    </font>
  </fonts>
  <fills count="35">
    <fill>
      <patternFill patternType="none"/>
    </fill>
    <fill>
      <patternFill patternType="gray125"/>
    </fill>
    <fill>
      <patternFill patternType="solid">
        <fgColor theme="3" tint="0.799981688894314"/>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6" tint="0.799981688894314"/>
        <bgColor indexed="64"/>
      </patternFill>
    </fill>
    <fill>
      <patternFill patternType="solid">
        <fgColor theme="4"/>
        <bgColor indexed="64"/>
      </patternFill>
    </fill>
    <fill>
      <patternFill patternType="solid">
        <fgColor rgb="FFFFC7CE"/>
        <bgColor indexed="64"/>
      </patternFill>
    </fill>
    <fill>
      <patternFill patternType="solid">
        <fgColor rgb="FFFFEB9C"/>
        <bgColor indexed="64"/>
      </patternFill>
    </fill>
    <fill>
      <patternFill patternType="solid">
        <fgColor rgb="FFFFCC99"/>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5"/>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rgb="FFF2F2F2"/>
        <bgColor indexed="64"/>
      </patternFill>
    </fill>
    <fill>
      <patternFill patternType="solid">
        <fgColor rgb="FFFFFFC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A5A5A5"/>
        <bgColor indexed="64"/>
      </patternFill>
    </fill>
    <fill>
      <patternFill patternType="solid">
        <fgColor theme="7" tint="0.599993896298105"/>
        <bgColor indexed="64"/>
      </patternFill>
    </fill>
    <fill>
      <patternFill patternType="solid">
        <fgColor theme="6"/>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C6EFCE"/>
        <bgColor indexed="64"/>
      </patternFill>
    </fill>
    <fill>
      <patternFill patternType="solid">
        <fgColor theme="4" tint="0.599993896298105"/>
        <bgColor indexed="64"/>
      </patternFill>
    </fill>
    <fill>
      <patternFill patternType="solid">
        <fgColor theme="8"/>
        <bgColor indexed="64"/>
      </patternFill>
    </fill>
    <fill>
      <patternFill patternType="solid">
        <fgColor theme="7" tint="0.799981688894314"/>
        <bgColor indexed="64"/>
      </patternFill>
    </fill>
    <fill>
      <patternFill patternType="solid">
        <fgColor theme="7"/>
        <bgColor indexed="64"/>
      </patternFill>
    </fill>
    <fill>
      <patternFill patternType="solid">
        <fgColor theme="9"/>
        <bgColor indexed="64"/>
      </patternFill>
    </fill>
    <fill>
      <patternFill patternType="solid">
        <fgColor theme="8" tint="0.399975585192419"/>
        <bgColor indexed="64"/>
      </patternFill>
    </fill>
  </fills>
  <borders count="3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top style="medium">
        <color auto="1"/>
      </top>
      <bottom/>
      <diagonal/>
    </border>
    <border>
      <left style="thin">
        <color auto="1"/>
      </left>
      <right style="thin">
        <color auto="1"/>
      </right>
      <top style="medium">
        <color auto="1"/>
      </top>
      <bottom/>
      <diagonal/>
    </border>
    <border>
      <left/>
      <right style="thin">
        <color auto="1"/>
      </right>
      <top style="medium">
        <color auto="1"/>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style="medium">
        <color auto="1"/>
      </right>
      <top/>
      <bottom style="medium">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42" fontId="8" fillId="0" borderId="0" applyFont="0" applyFill="0" applyBorder="0" applyAlignment="0" applyProtection="0">
      <alignment vertical="center"/>
    </xf>
    <xf numFmtId="0" fontId="10" fillId="5" borderId="0" applyNumberFormat="0" applyBorder="0" applyAlignment="0" applyProtection="0">
      <alignment vertical="center"/>
    </xf>
    <xf numFmtId="0" fontId="14" fillId="9" borderId="30" applyNumberFormat="0" applyAlignment="0" applyProtection="0">
      <alignment vertical="center"/>
    </xf>
    <xf numFmtId="44" fontId="8" fillId="0" borderId="0" applyFont="0" applyFill="0" applyBorder="0" applyAlignment="0" applyProtection="0">
      <alignment vertical="center"/>
    </xf>
    <xf numFmtId="41" fontId="8" fillId="0" borderId="0" applyFont="0" applyFill="0" applyBorder="0" applyAlignment="0" applyProtection="0">
      <alignment vertical="center"/>
    </xf>
    <xf numFmtId="0" fontId="10" fillId="13" borderId="0" applyNumberFormat="0" applyBorder="0" applyAlignment="0" applyProtection="0">
      <alignment vertical="center"/>
    </xf>
    <xf numFmtId="0" fontId="12" fillId="7" borderId="0" applyNumberFormat="0" applyBorder="0" applyAlignment="0" applyProtection="0">
      <alignment vertical="center"/>
    </xf>
    <xf numFmtId="43" fontId="0" fillId="0" borderId="0" applyFont="0" applyFill="0" applyBorder="0" applyAlignment="0" applyProtection="0">
      <alignment vertical="center"/>
    </xf>
    <xf numFmtId="0" fontId="9" fillId="17" borderId="0" applyNumberFormat="0" applyBorder="0" applyAlignment="0" applyProtection="0">
      <alignment vertical="center"/>
    </xf>
    <xf numFmtId="0" fontId="17" fillId="0" borderId="0" applyNumberFormat="0" applyFill="0" applyBorder="0" applyAlignment="0" applyProtection="0">
      <alignment vertical="center"/>
    </xf>
    <xf numFmtId="9" fontId="8" fillId="0" borderId="0" applyFont="0" applyFill="0" applyBorder="0" applyAlignment="0" applyProtection="0">
      <alignment vertical="center"/>
    </xf>
    <xf numFmtId="0" fontId="18" fillId="0" borderId="0" applyNumberFormat="0" applyFill="0" applyBorder="0" applyAlignment="0" applyProtection="0">
      <alignment vertical="center"/>
    </xf>
    <xf numFmtId="0" fontId="8" fillId="20" borderId="32" applyNumberFormat="0" applyFont="0" applyAlignment="0" applyProtection="0">
      <alignment vertical="center"/>
    </xf>
    <xf numFmtId="0" fontId="9" fillId="22" borderId="0" applyNumberFormat="0" applyBorder="0" applyAlignment="0" applyProtection="0">
      <alignment vertical="center"/>
    </xf>
    <xf numFmtId="0" fontId="11"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3" applyNumberFormat="0" applyFill="0" applyAlignment="0" applyProtection="0">
      <alignment vertical="center"/>
    </xf>
    <xf numFmtId="0" fontId="23" fillId="0" borderId="33" applyNumberFormat="0" applyFill="0" applyAlignment="0" applyProtection="0">
      <alignment vertical="center"/>
    </xf>
    <xf numFmtId="0" fontId="9" fillId="16" borderId="0" applyNumberFormat="0" applyBorder="0" applyAlignment="0" applyProtection="0">
      <alignment vertical="center"/>
    </xf>
    <xf numFmtId="0" fontId="11" fillId="0" borderId="34" applyNumberFormat="0" applyFill="0" applyAlignment="0" applyProtection="0">
      <alignment vertical="center"/>
    </xf>
    <xf numFmtId="0" fontId="9" fillId="21" borderId="0" applyNumberFormat="0" applyBorder="0" applyAlignment="0" applyProtection="0">
      <alignment vertical="center"/>
    </xf>
    <xf numFmtId="0" fontId="16" fillId="19" borderId="31" applyNumberFormat="0" applyAlignment="0" applyProtection="0">
      <alignment vertical="center"/>
    </xf>
    <xf numFmtId="0" fontId="15" fillId="19" borderId="30" applyNumberFormat="0" applyAlignment="0" applyProtection="0">
      <alignment vertical="center"/>
    </xf>
    <xf numFmtId="0" fontId="24" fillId="23" borderId="35" applyNumberFormat="0" applyAlignment="0" applyProtection="0">
      <alignment vertical="center"/>
    </xf>
    <xf numFmtId="0" fontId="10" fillId="27" borderId="0" applyNumberFormat="0" applyBorder="0" applyAlignment="0" applyProtection="0">
      <alignment vertical="center"/>
    </xf>
    <xf numFmtId="0" fontId="9" fillId="15" borderId="0" applyNumberFormat="0" applyBorder="0" applyAlignment="0" applyProtection="0">
      <alignment vertical="center"/>
    </xf>
    <xf numFmtId="0" fontId="26" fillId="0" borderId="37" applyNumberFormat="0" applyFill="0" applyAlignment="0" applyProtection="0">
      <alignment vertical="center"/>
    </xf>
    <xf numFmtId="0" fontId="25" fillId="0" borderId="36" applyNumberFormat="0" applyFill="0" applyAlignment="0" applyProtection="0">
      <alignment vertical="center"/>
    </xf>
    <xf numFmtId="0" fontId="27" fillId="28" borderId="0" applyNumberFormat="0" applyBorder="0" applyAlignment="0" applyProtection="0">
      <alignment vertical="center"/>
    </xf>
    <xf numFmtId="0" fontId="13" fillId="8" borderId="0" applyNumberFormat="0" applyBorder="0" applyAlignment="0" applyProtection="0">
      <alignment vertical="center"/>
    </xf>
    <xf numFmtId="0" fontId="10" fillId="12" borderId="0" applyNumberFormat="0" applyBorder="0" applyAlignment="0" applyProtection="0">
      <alignment vertical="center"/>
    </xf>
    <xf numFmtId="0" fontId="9" fillId="6" borderId="0" applyNumberFormat="0" applyBorder="0" applyAlignment="0" applyProtection="0">
      <alignment vertical="center"/>
    </xf>
    <xf numFmtId="0" fontId="10" fillId="18" borderId="0" applyNumberFormat="0" applyBorder="0" applyAlignment="0" applyProtection="0">
      <alignment vertical="center"/>
    </xf>
    <xf numFmtId="0" fontId="10" fillId="29" borderId="0" applyNumberFormat="0" applyBorder="0" applyAlignment="0" applyProtection="0">
      <alignment vertical="center"/>
    </xf>
    <xf numFmtId="0" fontId="10" fillId="26" borderId="0" applyNumberFormat="0" applyBorder="0" applyAlignment="0" applyProtection="0">
      <alignment vertical="center"/>
    </xf>
    <xf numFmtId="0" fontId="10" fillId="11" borderId="0" applyNumberFormat="0" applyBorder="0" applyAlignment="0" applyProtection="0">
      <alignment vertical="center"/>
    </xf>
    <xf numFmtId="0" fontId="9" fillId="25" borderId="0" applyNumberFormat="0" applyBorder="0" applyAlignment="0" applyProtection="0">
      <alignment vertical="center"/>
    </xf>
    <xf numFmtId="0" fontId="9" fillId="32" borderId="0" applyNumberFormat="0" applyBorder="0" applyAlignment="0" applyProtection="0">
      <alignment vertical="center"/>
    </xf>
    <xf numFmtId="0" fontId="10" fillId="31" borderId="0" applyNumberFormat="0" applyBorder="0" applyAlignment="0" applyProtection="0">
      <alignment vertical="center"/>
    </xf>
    <xf numFmtId="0" fontId="10" fillId="24" borderId="0" applyNumberFormat="0" applyBorder="0" applyAlignment="0" applyProtection="0">
      <alignment vertical="center"/>
    </xf>
    <xf numFmtId="0" fontId="9" fillId="30" borderId="0" applyNumberFormat="0" applyBorder="0" applyAlignment="0" applyProtection="0">
      <alignment vertical="center"/>
    </xf>
    <xf numFmtId="0" fontId="10" fillId="10" borderId="0" applyNumberFormat="0" applyBorder="0" applyAlignment="0" applyProtection="0">
      <alignment vertical="center"/>
    </xf>
    <xf numFmtId="0" fontId="9" fillId="34" borderId="0" applyNumberFormat="0" applyBorder="0" applyAlignment="0" applyProtection="0">
      <alignment vertical="center"/>
    </xf>
    <xf numFmtId="0" fontId="9" fillId="33" borderId="0" applyNumberFormat="0" applyBorder="0" applyAlignment="0" applyProtection="0">
      <alignment vertical="center"/>
    </xf>
    <xf numFmtId="0" fontId="10" fillId="14" borderId="0" applyNumberFormat="0" applyBorder="0" applyAlignment="0" applyProtection="0">
      <alignment vertical="center"/>
    </xf>
    <xf numFmtId="0" fontId="9" fillId="4" borderId="0" applyNumberFormat="0" applyBorder="0" applyAlignment="0" applyProtection="0">
      <alignment vertical="center"/>
    </xf>
  </cellStyleXfs>
  <cellXfs count="57">
    <xf numFmtId="0" fontId="0" fillId="0" borderId="0" xfId="0"/>
    <xf numFmtId="0" fontId="1" fillId="0" borderId="0" xfId="0" applyFont="1" applyAlignment="1">
      <alignment horizontal="centerContinuous" vertical="center"/>
    </xf>
    <xf numFmtId="0" fontId="0" fillId="0" borderId="0" xfId="0" applyAlignment="1">
      <alignment horizontal="centerContinuous" vertical="center"/>
    </xf>
    <xf numFmtId="0" fontId="2" fillId="0" borderId="1" xfId="0" applyFont="1" applyBorder="1" applyAlignment="1">
      <alignment horizontal="left" vertical="center" wrapText="1"/>
    </xf>
    <xf numFmtId="0" fontId="2" fillId="0" borderId="2" xfId="0" applyFont="1" applyBorder="1" applyAlignment="1">
      <alignment horizontal="center" vertical="center" wrapText="1"/>
    </xf>
    <xf numFmtId="0" fontId="3" fillId="0" borderId="2" xfId="0" applyFont="1" applyBorder="1" applyAlignment="1">
      <alignment horizontal="left" vertical="center" wrapText="1"/>
    </xf>
    <xf numFmtId="0" fontId="2" fillId="0" borderId="3" xfId="0" applyFont="1" applyBorder="1" applyAlignment="1">
      <alignment horizontal="center" vertical="center" wrapText="1"/>
    </xf>
    <xf numFmtId="0" fontId="2" fillId="0" borderId="4" xfId="0" applyFont="1" applyBorder="1" applyAlignment="1">
      <alignment horizontal="left" vertical="center" wrapText="1"/>
    </xf>
    <xf numFmtId="0" fontId="2" fillId="0" borderId="5" xfId="0" applyFont="1" applyBorder="1" applyAlignment="1">
      <alignment horizontal="center" vertical="center" wrapText="1"/>
    </xf>
    <xf numFmtId="0" fontId="3" fillId="0" borderId="5" xfId="0" applyFont="1" applyBorder="1" applyAlignment="1">
      <alignment horizontal="left" vertical="center" wrapText="1"/>
    </xf>
    <xf numFmtId="0" fontId="2" fillId="0" borderId="6"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4" xfId="0" applyFont="1" applyBorder="1" applyAlignment="1">
      <alignment horizontal="left" vertical="center" wrapText="1"/>
    </xf>
    <xf numFmtId="0" fontId="2" fillId="0" borderId="5" xfId="0" applyFont="1" applyBorder="1" applyAlignment="1">
      <alignment horizontal="left" vertical="center" wrapText="1"/>
    </xf>
    <xf numFmtId="0" fontId="0" fillId="0" borderId="0" xfId="0" applyAlignment="1">
      <alignment horizontal="left" vertical="center"/>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0" borderId="5" xfId="0" applyFont="1" applyBorder="1" applyAlignment="1">
      <alignment horizontal="left" vertical="center" wrapText="1" indent="2"/>
    </xf>
    <xf numFmtId="0" fontId="3" fillId="0" borderId="6" xfId="0" applyFont="1" applyBorder="1" applyAlignment="1">
      <alignment horizontal="left" vertical="center" wrapText="1" indent="2"/>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6" xfId="0" applyFont="1" applyBorder="1" applyAlignment="1">
      <alignment horizontal="left" vertical="center" wrapText="1"/>
    </xf>
    <xf numFmtId="0" fontId="2" fillId="0" borderId="9" xfId="0" applyFont="1" applyBorder="1" applyAlignment="1">
      <alignment horizontal="left" vertical="center" wrapText="1"/>
    </xf>
    <xf numFmtId="0" fontId="3" fillId="0" borderId="10" xfId="0" applyFont="1" applyBorder="1" applyAlignment="1">
      <alignment horizontal="left" vertical="center" wrapText="1" indent="3"/>
    </xf>
    <xf numFmtId="0" fontId="3" fillId="0" borderId="11" xfId="0" applyFont="1" applyBorder="1" applyAlignment="1">
      <alignment horizontal="left" vertical="center" wrapText="1" indent="3"/>
    </xf>
    <xf numFmtId="0" fontId="0" fillId="0" borderId="0" xfId="0" applyAlignment="1">
      <alignment horizontal="left" vertical="top" wrapText="1"/>
    </xf>
    <xf numFmtId="0" fontId="4" fillId="0" borderId="0" xfId="0" applyFont="1"/>
    <xf numFmtId="0" fontId="5" fillId="0" borderId="12" xfId="0" applyFont="1" applyBorder="1" applyAlignment="1">
      <alignment horizontal="center"/>
    </xf>
    <xf numFmtId="0" fontId="6" fillId="3" borderId="13" xfId="0" applyFont="1" applyFill="1" applyBorder="1" applyAlignment="1">
      <alignment horizontal="center" vertical="center" wrapText="1"/>
    </xf>
    <xf numFmtId="0" fontId="6" fillId="3" borderId="14" xfId="0" applyFont="1" applyFill="1" applyBorder="1" applyAlignment="1">
      <alignment vertical="center" wrapText="1"/>
    </xf>
    <xf numFmtId="0" fontId="6" fillId="3" borderId="15" xfId="0" applyFont="1" applyFill="1" applyBorder="1" applyAlignment="1">
      <alignment horizontal="center" vertical="center" wrapText="1"/>
    </xf>
    <xf numFmtId="0" fontId="7" fillId="0" borderId="16" xfId="0" applyFont="1" applyBorder="1" applyAlignment="1">
      <alignment horizontal="left" vertical="center" wrapText="1"/>
    </xf>
    <xf numFmtId="0" fontId="7" fillId="0" borderId="17" xfId="0" applyFont="1" applyBorder="1" applyAlignment="1">
      <alignment horizontal="center" vertical="center" wrapText="1"/>
    </xf>
    <xf numFmtId="177" fontId="7" fillId="0" borderId="17" xfId="8" applyNumberFormat="1" applyFont="1" applyBorder="1" applyAlignment="1">
      <alignment horizontal="right" vertical="center" wrapText="1"/>
    </xf>
    <xf numFmtId="0" fontId="7" fillId="0" borderId="18" xfId="0" applyFont="1" applyBorder="1" applyAlignment="1">
      <alignment horizontal="left" vertical="center" wrapText="1"/>
    </xf>
    <xf numFmtId="0" fontId="7" fillId="0" borderId="19" xfId="0" applyFont="1" applyBorder="1" applyAlignment="1">
      <alignment horizontal="center" vertical="center" wrapText="1"/>
    </xf>
    <xf numFmtId="177" fontId="7" fillId="0" borderId="19" xfId="8" applyNumberFormat="1" applyFont="1" applyBorder="1" applyAlignment="1">
      <alignment horizontal="right" vertical="center" wrapText="1"/>
    </xf>
    <xf numFmtId="0" fontId="7" fillId="0" borderId="18" xfId="0" applyFont="1" applyBorder="1" applyAlignment="1">
      <alignment vertical="center" wrapText="1"/>
    </xf>
    <xf numFmtId="0" fontId="7" fillId="0" borderId="20" xfId="0" applyFont="1" applyBorder="1" applyAlignment="1">
      <alignment vertical="center" wrapText="1"/>
    </xf>
    <xf numFmtId="0" fontId="7" fillId="0" borderId="21" xfId="0" applyFont="1" applyBorder="1" applyAlignment="1">
      <alignment horizontal="center" vertical="center" wrapText="1"/>
    </xf>
    <xf numFmtId="177" fontId="7" fillId="0" borderId="21" xfId="8" applyNumberFormat="1" applyFont="1" applyBorder="1" applyAlignment="1">
      <alignment horizontal="right" vertical="center" wrapText="1"/>
    </xf>
    <xf numFmtId="0" fontId="7" fillId="0" borderId="22" xfId="0" applyFont="1" applyBorder="1" applyAlignment="1">
      <alignment vertical="center" wrapText="1"/>
    </xf>
    <xf numFmtId="0" fontId="7" fillId="0" borderId="23" xfId="0" applyFont="1" applyBorder="1" applyAlignment="1">
      <alignment horizontal="center" vertical="center" wrapText="1"/>
    </xf>
    <xf numFmtId="177" fontId="7" fillId="0" borderId="23" xfId="8" applyNumberFormat="1" applyFont="1" applyBorder="1" applyAlignment="1">
      <alignment horizontal="right" vertical="center" wrapText="1"/>
    </xf>
    <xf numFmtId="0" fontId="7" fillId="0" borderId="0" xfId="0" applyFont="1" applyBorder="1" applyAlignment="1">
      <alignment vertical="center" wrapText="1"/>
    </xf>
    <xf numFmtId="0" fontId="7" fillId="0" borderId="0" xfId="0" applyFont="1" applyBorder="1" applyAlignment="1">
      <alignment horizontal="center" vertical="center" wrapText="1"/>
    </xf>
    <xf numFmtId="176" fontId="7" fillId="0" borderId="0" xfId="0" applyNumberFormat="1" applyFont="1" applyBorder="1" applyAlignment="1">
      <alignment horizontal="center" vertical="center" wrapText="1"/>
    </xf>
    <xf numFmtId="0" fontId="6" fillId="3" borderId="24" xfId="0" applyFont="1" applyFill="1" applyBorder="1" applyAlignment="1">
      <alignment vertical="center" wrapText="1"/>
    </xf>
    <xf numFmtId="178" fontId="6" fillId="3" borderId="24" xfId="0" applyNumberFormat="1" applyFont="1" applyFill="1" applyBorder="1" applyAlignment="1">
      <alignment vertical="center" wrapText="1"/>
    </xf>
    <xf numFmtId="0" fontId="6" fillId="3" borderId="14" xfId="0" applyFont="1" applyFill="1" applyBorder="1" applyAlignment="1">
      <alignment horizontal="center" vertical="center" wrapText="1"/>
    </xf>
    <xf numFmtId="178" fontId="6" fillId="3" borderId="25" xfId="0" applyNumberFormat="1" applyFont="1" applyFill="1" applyBorder="1" applyAlignment="1">
      <alignment horizontal="center" vertical="center" wrapText="1"/>
    </xf>
    <xf numFmtId="177" fontId="7" fillId="0" borderId="26" xfId="8" applyNumberFormat="1" applyFont="1" applyBorder="1" applyAlignment="1">
      <alignment horizontal="right" vertical="center" wrapText="1"/>
    </xf>
    <xf numFmtId="177" fontId="7" fillId="0" borderId="27" xfId="8" applyNumberFormat="1" applyFont="1" applyBorder="1" applyAlignment="1">
      <alignment horizontal="right" vertical="center" wrapText="1"/>
    </xf>
    <xf numFmtId="177" fontId="7" fillId="0" borderId="28" xfId="8" applyNumberFormat="1" applyFont="1" applyBorder="1" applyAlignment="1">
      <alignment horizontal="right" vertical="center" wrapText="1"/>
    </xf>
    <xf numFmtId="177" fontId="7" fillId="0" borderId="29" xfId="8" applyNumberFormat="1" applyFont="1" applyBorder="1" applyAlignment="1">
      <alignment horizontal="righ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20"/>
  <sheetViews>
    <sheetView showGridLines="0" workbookViewId="0">
      <pane xSplit="2" ySplit="3" topLeftCell="C4" activePane="bottomRight" state="frozen"/>
      <selection/>
      <selection pane="topRight"/>
      <selection pane="bottomLeft"/>
      <selection pane="bottomRight" activeCell="C4" sqref="C4"/>
    </sheetView>
  </sheetViews>
  <sheetFormatPr defaultColWidth="9" defaultRowHeight="16.5"/>
  <cols>
    <col min="1" max="1" width="3.66666666666667" style="28" customWidth="1"/>
    <col min="2" max="2" width="20.6666666666667" style="28" customWidth="1"/>
    <col min="3" max="7" width="11.9166666666667" style="28" customWidth="1"/>
    <col min="8" max="8" width="12.0833333333333" style="28" customWidth="1"/>
    <col min="9" max="9" width="8.41666666666667" style="28" customWidth="1"/>
    <col min="10" max="10" width="7.58333333333333" style="28" customWidth="1"/>
    <col min="11" max="11" width="9.5" style="28" customWidth="1"/>
    <col min="12" max="12" width="7.08333333333333" style="28" customWidth="1"/>
    <col min="13" max="13" width="11.25" style="28" customWidth="1"/>
    <col min="14" max="16384" width="8.66666666666667" style="28"/>
  </cols>
  <sheetData>
    <row r="2" ht="28.5" spans="2:13">
      <c r="B2" s="29" t="s">
        <v>0</v>
      </c>
      <c r="C2" s="29"/>
      <c r="D2" s="29"/>
      <c r="E2" s="29"/>
      <c r="F2" s="29"/>
      <c r="G2" s="29"/>
      <c r="H2" s="29"/>
      <c r="I2" s="29"/>
      <c r="J2" s="29"/>
      <c r="K2" s="29"/>
      <c r="L2" s="29"/>
      <c r="M2" s="29"/>
    </row>
    <row r="3" ht="31.5" customHeight="1" spans="2:13">
      <c r="B3" s="30" t="s">
        <v>1</v>
      </c>
      <c r="C3" s="31" t="s">
        <v>2</v>
      </c>
      <c r="D3" s="31" t="s">
        <v>3</v>
      </c>
      <c r="E3" s="31" t="s">
        <v>4</v>
      </c>
      <c r="F3" s="31" t="s">
        <v>5</v>
      </c>
      <c r="G3" s="31" t="s">
        <v>6</v>
      </c>
      <c r="H3" s="32" t="s">
        <v>7</v>
      </c>
      <c r="I3" s="49" t="s">
        <v>8</v>
      </c>
      <c r="J3" s="49" t="s">
        <v>9</v>
      </c>
      <c r="K3" s="50" t="s">
        <v>10</v>
      </c>
      <c r="L3" s="51" t="s">
        <v>11</v>
      </c>
      <c r="M3" s="52" t="s">
        <v>12</v>
      </c>
    </row>
    <row r="4" ht="17.25" spans="2:13">
      <c r="B4" s="33" t="s">
        <v>13</v>
      </c>
      <c r="C4" s="34" t="s">
        <v>14</v>
      </c>
      <c r="D4" s="34" t="s">
        <v>15</v>
      </c>
      <c r="E4" s="34">
        <v>20</v>
      </c>
      <c r="F4" s="34">
        <v>3</v>
      </c>
      <c r="G4" s="34">
        <f>E4*F4</f>
        <v>60</v>
      </c>
      <c r="H4" s="35">
        <f>G4*3000</f>
        <v>180000</v>
      </c>
      <c r="I4" s="35">
        <v>200</v>
      </c>
      <c r="J4" s="35"/>
      <c r="K4" s="35">
        <f>E4*2000</f>
        <v>40000</v>
      </c>
      <c r="L4" s="35">
        <v>500</v>
      </c>
      <c r="M4" s="53">
        <f>SUM(H4:L4)</f>
        <v>220700</v>
      </c>
    </row>
    <row r="5" ht="20" customHeight="1" spans="2:13">
      <c r="B5" s="36" t="s">
        <v>16</v>
      </c>
      <c r="C5" s="37" t="s">
        <v>17</v>
      </c>
      <c r="D5" s="37" t="s">
        <v>15</v>
      </c>
      <c r="E5" s="37">
        <v>5</v>
      </c>
      <c r="F5" s="37">
        <v>6</v>
      </c>
      <c r="G5" s="37">
        <f t="shared" ref="G5:G8" si="0">E5*F5</f>
        <v>30</v>
      </c>
      <c r="H5" s="38">
        <f>G5*3000</f>
        <v>90000</v>
      </c>
      <c r="I5" s="38"/>
      <c r="J5" s="38"/>
      <c r="K5" s="38">
        <f>5*3500</f>
        <v>17500</v>
      </c>
      <c r="L5" s="38">
        <v>900</v>
      </c>
      <c r="M5" s="54">
        <f t="shared" ref="M5:M9" si="1">SUM(H5:L5)</f>
        <v>108400</v>
      </c>
    </row>
    <row r="6" ht="20" customHeight="1" spans="2:13">
      <c r="B6" s="36" t="s">
        <v>18</v>
      </c>
      <c r="C6" s="37" t="s">
        <v>19</v>
      </c>
      <c r="D6" s="37" t="s">
        <v>15</v>
      </c>
      <c r="E6" s="37">
        <v>100</v>
      </c>
      <c r="F6" s="37">
        <v>2</v>
      </c>
      <c r="G6" s="37">
        <f t="shared" si="0"/>
        <v>200</v>
      </c>
      <c r="H6" s="38">
        <f>G6*500</f>
        <v>100000</v>
      </c>
      <c r="I6" s="38">
        <v>1000</v>
      </c>
      <c r="J6" s="38"/>
      <c r="K6" s="38">
        <f>E6*1000</f>
        <v>100000</v>
      </c>
      <c r="L6" s="38"/>
      <c r="M6" s="54">
        <f t="shared" si="1"/>
        <v>201000</v>
      </c>
    </row>
    <row r="7" ht="20" customHeight="1" spans="2:13">
      <c r="B7" s="39" t="s">
        <v>20</v>
      </c>
      <c r="C7" s="37" t="s">
        <v>19</v>
      </c>
      <c r="D7" s="37" t="s">
        <v>15</v>
      </c>
      <c r="E7" s="37">
        <v>200</v>
      </c>
      <c r="F7" s="37">
        <v>2</v>
      </c>
      <c r="G7" s="37">
        <f t="shared" si="0"/>
        <v>400</v>
      </c>
      <c r="H7" s="38">
        <f>G7*500</f>
        <v>200000</v>
      </c>
      <c r="I7" s="38">
        <v>600</v>
      </c>
      <c r="J7" s="38"/>
      <c r="K7" s="38">
        <f>E7*500</f>
        <v>100000</v>
      </c>
      <c r="L7" s="38"/>
      <c r="M7" s="54">
        <f t="shared" si="1"/>
        <v>300600</v>
      </c>
    </row>
    <row r="8" ht="20" customHeight="1" spans="2:13">
      <c r="B8" s="39" t="s">
        <v>21</v>
      </c>
      <c r="C8" s="37" t="s">
        <v>22</v>
      </c>
      <c r="D8" s="37" t="s">
        <v>23</v>
      </c>
      <c r="E8" s="37">
        <v>1000</v>
      </c>
      <c r="F8" s="37">
        <v>2</v>
      </c>
      <c r="G8" s="37">
        <f t="shared" si="0"/>
        <v>2000</v>
      </c>
      <c r="H8" s="38">
        <v>0</v>
      </c>
      <c r="I8" s="38">
        <f>E8*20</f>
        <v>20000</v>
      </c>
      <c r="J8" s="38"/>
      <c r="K8" s="38">
        <v>0</v>
      </c>
      <c r="L8" s="38"/>
      <c r="M8" s="54">
        <f t="shared" si="1"/>
        <v>20000</v>
      </c>
    </row>
    <row r="9" ht="20" customHeight="1" spans="2:13">
      <c r="B9" s="40"/>
      <c r="C9" s="41"/>
      <c r="D9" s="41"/>
      <c r="E9" s="41"/>
      <c r="F9" s="41"/>
      <c r="G9" s="41"/>
      <c r="H9" s="42"/>
      <c r="I9" s="42"/>
      <c r="J9" s="42"/>
      <c r="K9" s="42"/>
      <c r="L9" s="42"/>
      <c r="M9" s="55">
        <f t="shared" si="1"/>
        <v>0</v>
      </c>
    </row>
    <row r="10" ht="20" customHeight="1" spans="2:13">
      <c r="B10" s="43" t="s">
        <v>24</v>
      </c>
      <c r="C10" s="44"/>
      <c r="D10" s="44"/>
      <c r="E10" s="44">
        <f>SUM(E4:E8)</f>
        <v>1325</v>
      </c>
      <c r="F10" s="44"/>
      <c r="G10" s="44">
        <f>SUM(G4:G8)</f>
        <v>2690</v>
      </c>
      <c r="H10" s="45">
        <f>SUM(H4:H8)</f>
        <v>570000</v>
      </c>
      <c r="I10" s="45">
        <f>SUM(I4:I8)</f>
        <v>21800</v>
      </c>
      <c r="J10" s="45"/>
      <c r="K10" s="45">
        <f>SUM(K4:K8)</f>
        <v>257500</v>
      </c>
      <c r="L10" s="45">
        <f>SUM(L4:L8)</f>
        <v>1400</v>
      </c>
      <c r="M10" s="56">
        <f>SUM(M4:M8)</f>
        <v>850700</v>
      </c>
    </row>
    <row r="11" ht="20" customHeight="1" spans="2:13">
      <c r="B11" s="46"/>
      <c r="C11" s="47"/>
      <c r="D11" s="47"/>
      <c r="E11" s="47"/>
      <c r="F11" s="47"/>
      <c r="G11" s="47"/>
      <c r="H11" s="48"/>
      <c r="I11" s="48"/>
      <c r="J11" s="47"/>
      <c r="K11" s="47"/>
      <c r="L11" s="48"/>
      <c r="M11" s="48"/>
    </row>
    <row r="12" ht="20" customHeight="1" spans="2:13">
      <c r="B12" s="46" t="s">
        <v>25</v>
      </c>
      <c r="C12" s="47"/>
      <c r="D12" s="47"/>
      <c r="E12" s="47"/>
      <c r="F12" s="47"/>
      <c r="G12" s="47"/>
      <c r="H12" s="48"/>
      <c r="I12" s="48"/>
      <c r="J12" s="47"/>
      <c r="K12" s="47"/>
      <c r="L12" s="48"/>
      <c r="M12" s="48"/>
    </row>
    <row r="13" spans="2:2">
      <c r="B13" s="28" t="s">
        <v>26</v>
      </c>
    </row>
    <row r="14" spans="2:2">
      <c r="B14" s="28" t="s">
        <v>27</v>
      </c>
    </row>
    <row r="15" spans="2:2">
      <c r="B15" s="28" t="s">
        <v>28</v>
      </c>
    </row>
    <row r="16" spans="2:2">
      <c r="B16" s="28" t="s">
        <v>29</v>
      </c>
    </row>
    <row r="17" spans="2:2">
      <c r="B17" s="28" t="s">
        <v>30</v>
      </c>
    </row>
    <row r="18" spans="2:2">
      <c r="B18" s="28" t="s">
        <v>31</v>
      </c>
    </row>
    <row r="19" spans="2:2">
      <c r="B19" s="28" t="s">
        <v>32</v>
      </c>
    </row>
    <row r="20" spans="2:2">
      <c r="B20" s="28" t="s">
        <v>33</v>
      </c>
    </row>
  </sheetData>
  <mergeCells count="1">
    <mergeCell ref="B2:M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G23"/>
  <sheetViews>
    <sheetView showGridLines="0" tabSelected="1" zoomScale="85" zoomScaleNormal="85" workbookViewId="0">
      <pane xSplit="2" ySplit="5" topLeftCell="C6" activePane="bottomRight" state="frozen"/>
      <selection/>
      <selection pane="topRight"/>
      <selection pane="bottomLeft"/>
      <selection pane="bottomRight" activeCell="H13" sqref="H13"/>
    </sheetView>
  </sheetViews>
  <sheetFormatPr defaultColWidth="9" defaultRowHeight="14.25" outlineLevelCol="6"/>
  <cols>
    <col min="1" max="1" width="3.08333333333333" customWidth="1"/>
    <col min="2" max="2" width="35.0833333333333" customWidth="1"/>
    <col min="3" max="3" width="18.6666666666667" customWidth="1"/>
    <col min="5" max="5" width="15.5833333333333" customWidth="1"/>
    <col min="6" max="6" width="20.25" customWidth="1"/>
  </cols>
  <sheetData>
    <row r="3" ht="29.25" spans="2:6">
      <c r="B3" s="1" t="s">
        <v>34</v>
      </c>
      <c r="C3" s="2"/>
      <c r="D3" s="2"/>
      <c r="E3" s="2"/>
      <c r="F3" s="2"/>
    </row>
    <row r="4" ht="10.5" customHeight="1" spans="2:6">
      <c r="B4" s="1"/>
      <c r="C4" s="2"/>
      <c r="D4" s="2"/>
      <c r="E4" s="2"/>
      <c r="F4" s="2"/>
    </row>
    <row r="5" ht="28" customHeight="1" spans="2:6">
      <c r="B5" s="3" t="s">
        <v>35</v>
      </c>
      <c r="C5" s="4"/>
      <c r="D5" s="5" t="s">
        <v>36</v>
      </c>
      <c r="E5" s="5"/>
      <c r="F5" s="6"/>
    </row>
    <row r="6" ht="28" customHeight="1" spans="2:6">
      <c r="B6" s="7" t="s">
        <v>37</v>
      </c>
      <c r="C6" s="8"/>
      <c r="D6" s="9" t="s">
        <v>38</v>
      </c>
      <c r="E6" s="9"/>
      <c r="F6" s="10"/>
    </row>
    <row r="7" ht="28" customHeight="1" spans="2:6">
      <c r="B7" s="7" t="s">
        <v>39</v>
      </c>
      <c r="C7" s="11"/>
      <c r="D7" s="11"/>
      <c r="E7" s="11"/>
      <c r="F7" s="12"/>
    </row>
    <row r="8" ht="28" customHeight="1" spans="2:6">
      <c r="B8" s="7" t="s">
        <v>40</v>
      </c>
      <c r="C8" s="8"/>
      <c r="D8" s="9" t="s">
        <v>41</v>
      </c>
      <c r="E8" s="9"/>
      <c r="F8" s="10"/>
    </row>
    <row r="9" ht="28" customHeight="1" spans="2:6">
      <c r="B9" s="7" t="s">
        <v>42</v>
      </c>
      <c r="C9" s="8"/>
      <c r="D9" s="9" t="s">
        <v>12</v>
      </c>
      <c r="E9" s="9"/>
      <c r="F9" s="10"/>
    </row>
    <row r="10" ht="28" customHeight="1" spans="2:6">
      <c r="B10" s="7" t="s">
        <v>43</v>
      </c>
      <c r="C10" s="11"/>
      <c r="D10" s="11"/>
      <c r="E10" s="11"/>
      <c r="F10" s="12"/>
    </row>
    <row r="11" ht="28" customHeight="1" spans="2:6">
      <c r="B11" s="13" t="s">
        <v>44</v>
      </c>
      <c r="C11" s="9" t="s">
        <v>45</v>
      </c>
      <c r="D11" s="9"/>
      <c r="E11" s="14" t="s">
        <v>46</v>
      </c>
      <c r="F11" s="12"/>
    </row>
    <row r="12" ht="28" customHeight="1" spans="2:6">
      <c r="B12" s="13"/>
      <c r="C12" s="9"/>
      <c r="D12" s="9"/>
      <c r="E12" s="14" t="s">
        <v>47</v>
      </c>
      <c r="F12" s="12"/>
    </row>
    <row r="13" ht="28.5" spans="2:7">
      <c r="B13" s="7" t="s">
        <v>48</v>
      </c>
      <c r="C13" s="11"/>
      <c r="D13" s="11"/>
      <c r="E13" s="14" t="s">
        <v>49</v>
      </c>
      <c r="F13" s="10"/>
      <c r="G13" s="15"/>
    </row>
    <row r="14" ht="21" customHeight="1" spans="2:6">
      <c r="B14" s="16" t="s">
        <v>50</v>
      </c>
      <c r="C14" s="17"/>
      <c r="D14" s="17"/>
      <c r="E14" s="17"/>
      <c r="F14" s="18"/>
    </row>
    <row r="15" ht="157.5" customHeight="1" spans="2:6">
      <c r="B15" s="7" t="s">
        <v>51</v>
      </c>
      <c r="C15" s="19" t="s">
        <v>52</v>
      </c>
      <c r="D15" s="19"/>
      <c r="E15" s="19"/>
      <c r="F15" s="20"/>
    </row>
    <row r="16" ht="37.9" customHeight="1" spans="2:7">
      <c r="B16" s="7" t="s">
        <v>53</v>
      </c>
      <c r="C16" s="21"/>
      <c r="D16" s="22"/>
      <c r="E16" s="14" t="s">
        <v>54</v>
      </c>
      <c r="F16" s="23"/>
      <c r="G16" s="15"/>
    </row>
    <row r="17" ht="20.65" customHeight="1" spans="2:6">
      <c r="B17" s="16" t="s">
        <v>55</v>
      </c>
      <c r="C17" s="17"/>
      <c r="D17" s="17"/>
      <c r="E17" s="17"/>
      <c r="F17" s="18"/>
    </row>
    <row r="18" ht="28.5" customHeight="1" spans="2:6">
      <c r="B18" s="7" t="s">
        <v>56</v>
      </c>
      <c r="C18" s="11"/>
      <c r="D18" s="11"/>
      <c r="E18" s="11"/>
      <c r="F18" s="12"/>
    </row>
    <row r="19" ht="28.5" customHeight="1" spans="2:6">
      <c r="B19" s="7" t="s">
        <v>57</v>
      </c>
      <c r="C19" s="11"/>
      <c r="D19" s="11"/>
      <c r="E19" s="11"/>
      <c r="F19" s="12"/>
    </row>
    <row r="20" ht="28.5" customHeight="1" spans="2:6">
      <c r="B20" s="7" t="s">
        <v>58</v>
      </c>
      <c r="C20" s="11"/>
      <c r="D20" s="11"/>
      <c r="E20" s="11"/>
      <c r="F20" s="12"/>
    </row>
    <row r="21" ht="88.5" customHeight="1" spans="2:6">
      <c r="B21" s="24" t="s">
        <v>59</v>
      </c>
      <c r="C21" s="25" t="s">
        <v>60</v>
      </c>
      <c r="D21" s="25"/>
      <c r="E21" s="25"/>
      <c r="F21" s="26"/>
    </row>
    <row r="23" ht="95.25" customHeight="1" spans="2:6">
      <c r="B23" s="27" t="s">
        <v>61</v>
      </c>
      <c r="C23" s="27"/>
      <c r="D23" s="27"/>
      <c r="E23" s="27"/>
      <c r="F23" s="27"/>
    </row>
  </sheetData>
  <mergeCells count="19">
    <mergeCell ref="D5:E5"/>
    <mergeCell ref="D6:E6"/>
    <mergeCell ref="C7:F7"/>
    <mergeCell ref="D8:E8"/>
    <mergeCell ref="D9:E9"/>
    <mergeCell ref="C10:F10"/>
    <mergeCell ref="C13:D13"/>
    <mergeCell ref="B14:F14"/>
    <mergeCell ref="C15:F15"/>
    <mergeCell ref="C16:D16"/>
    <mergeCell ref="B17:F17"/>
    <mergeCell ref="C18:F18"/>
    <mergeCell ref="C19:F19"/>
    <mergeCell ref="C20:F20"/>
    <mergeCell ref="C21:F21"/>
    <mergeCell ref="B23:F23"/>
    <mergeCell ref="B11:B12"/>
    <mergeCell ref="F11:F12"/>
    <mergeCell ref="C11:D12"/>
  </mergeCells>
  <pageMargins left="0.25" right="0.25"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培训费预算</vt:lpstr>
      <vt:lpstr>员工培训确认及评价表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dc:creator>
  <cp:lastModifiedBy>陈东捷</cp:lastModifiedBy>
  <dcterms:created xsi:type="dcterms:W3CDTF">2021-09-22T10:38:00Z</dcterms:created>
  <dcterms:modified xsi:type="dcterms:W3CDTF">2021-11-22T01:10:06Z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0716E9F9654D456385E279800495A6D6</vt:lpwstr>
  </property>
  <property fmtid="{D5CDD505-2E9C-101B-9397-08002B2CF9AE}" pid="3" name="KSOProductBuildVer">
    <vt:lpwstr>2052-11.1.0.11045</vt:lpwstr>
  </property>
</Properties>
</file>