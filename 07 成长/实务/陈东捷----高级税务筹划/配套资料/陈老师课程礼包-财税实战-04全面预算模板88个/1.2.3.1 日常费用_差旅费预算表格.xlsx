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47"/>
  </bookViews>
  <sheets>
    <sheet name="差旅费预算" sheetId="1" r:id="rId1"/>
  </sheets>
  <calcPr calcId="144525"/>
</workbook>
</file>

<file path=xl/sharedStrings.xml><?xml version="1.0" encoding="utf-8"?>
<sst xmlns="http://schemas.openxmlformats.org/spreadsheetml/2006/main" count="77" uniqueCount="39">
  <si>
    <t>某公司20XX年差旅费预算</t>
  </si>
  <si>
    <t>假设1：销售员出差频率85%</t>
  </si>
  <si>
    <t>组织机构及岗位名称</t>
  </si>
  <si>
    <t>人数</t>
  </si>
  <si>
    <t>出差
频率</t>
  </si>
  <si>
    <t>出差
天数</t>
  </si>
  <si>
    <t>跨城市交通费</t>
  </si>
  <si>
    <t>市内交通费</t>
  </si>
  <si>
    <t>住宿费</t>
  </si>
  <si>
    <t>出差补贴</t>
  </si>
  <si>
    <t>其他</t>
  </si>
  <si>
    <t>预算金额</t>
  </si>
  <si>
    <t>金额</t>
  </si>
  <si>
    <t>标准</t>
  </si>
  <si>
    <t>老板</t>
  </si>
  <si>
    <t>销售总监</t>
  </si>
  <si>
    <t>销售区域经理</t>
  </si>
  <si>
    <t>销售主管</t>
  </si>
  <si>
    <t>销售员(上海)</t>
  </si>
  <si>
    <t>销售员(浙江)</t>
  </si>
  <si>
    <t>销售员(福建)</t>
  </si>
  <si>
    <t>销售员(江苏)</t>
  </si>
  <si>
    <t>销售员(安徽)</t>
  </si>
  <si>
    <t>合计</t>
  </si>
  <si>
    <t>假设2：销售员出差频率100%</t>
  </si>
  <si>
    <t>编制说明：</t>
  </si>
  <si>
    <t>当人员上升，销售任务增加时，一般的思维定式是差旅费必定增加。而事实上并不一定。</t>
  </si>
  <si>
    <t>差旅费不建议采用增量预算（即基于上年数增加X%的预算方法）。</t>
  </si>
  <si>
    <t>建议采用零基预算法，即从零开始的预算。既不考虑过去花了多少钱，也不考虑将来要完成什么任务，一切从零开始重新考虑该花多少钱。</t>
  </si>
  <si>
    <t>具体编制方法：</t>
  </si>
  <si>
    <t>1、找到做事与花钱之间的因果关系，即成本动因。</t>
  </si>
  <si>
    <t>差旅费的成本动因有：</t>
  </si>
  <si>
    <t>1）外地客户量-外地客户越多，要求出差越多。</t>
  </si>
  <si>
    <t>2）出差时间-时间越长，差旅费越高。</t>
  </si>
  <si>
    <t>3）出差频率-出差次数越多，差旅费越高。</t>
  </si>
  <si>
    <t>4）出差距离-出差距离决定交通方式，远的要坐飞机去，近的可以坐汽车，所以差旅费不一样。</t>
  </si>
  <si>
    <t>5）出差标准-不同的级别定的开销标准可能不同。</t>
  </si>
  <si>
    <t>2、根据不同岗位，分析以上成本动因的“数量”。</t>
  </si>
  <si>
    <t>3、根据动因数量和费用之间的函数关系计算费用额。具体计算公式参考上表。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</si>
</sst>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#,##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#,##0_);[Red]\(#,##0\)"/>
    <numFmt numFmtId="41" formatCode="_ * #,##0_ ;_ * \-#,##0_ ;_ * &quot;-&quot;_ ;_ @_ "/>
  </numFmts>
  <fonts count="3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b/>
      <sz val="11"/>
      <color theme="5" tint="0.399975585192419"/>
      <name val="Microsoft YaHei Light"/>
      <charset val="134"/>
    </font>
    <font>
      <sz val="11"/>
      <color theme="1"/>
      <name val="微软雅黑"/>
      <charset val="134"/>
    </font>
    <font>
      <sz val="11"/>
      <color theme="5" tint="0.399975585192419"/>
      <name val="微软雅黑"/>
      <charset val="134"/>
    </font>
    <font>
      <sz val="12"/>
      <name val="宋体"/>
      <charset val="134"/>
    </font>
    <font>
      <b/>
      <sz val="18"/>
      <color theme="1"/>
      <name val="微软雅黑"/>
      <charset val="134"/>
    </font>
    <font>
      <sz val="14"/>
      <color theme="1"/>
      <name val="微软雅黑"/>
      <charset val="134"/>
    </font>
    <font>
      <sz val="18"/>
      <color theme="1"/>
      <name val="微软雅黑"/>
      <charset val="134"/>
    </font>
    <font>
      <b/>
      <sz val="12"/>
      <color theme="2" tint="-0.899990844447157"/>
      <name val="Microsoft YaHei Light"/>
      <charset val="134"/>
    </font>
    <font>
      <sz val="12"/>
      <color rgb="FF000000"/>
      <name val="Microsoft YaHei Light"/>
      <charset val="134"/>
    </font>
    <font>
      <sz val="12"/>
      <color rgb="FF000000"/>
      <name val="思源黑体 CN Normal"/>
      <charset val="128"/>
    </font>
    <font>
      <sz val="11"/>
      <color theme="1"/>
      <name val="Microsoft YaHei Light"/>
      <charset val="134"/>
    </font>
    <font>
      <sz val="12"/>
      <color rgb="FF000000"/>
      <name val="宋体"/>
      <charset val="134"/>
    </font>
    <font>
      <sz val="11"/>
      <color theme="1"/>
      <name val="思源黑体 CN Normal"/>
      <charset val="128"/>
    </font>
    <font>
      <sz val="12"/>
      <color theme="2" tint="-0.899990844447157"/>
      <name val="微软雅黑"/>
      <charset val="134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25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9" borderId="27" applyNumberFormat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16" borderId="29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1" fillId="21" borderId="31" applyNumberFormat="0" applyAlignment="0" applyProtection="0">
      <alignment vertical="center"/>
    </xf>
    <xf numFmtId="0" fontId="36" fillId="21" borderId="27" applyNumberFormat="0" applyAlignment="0" applyProtection="0">
      <alignment vertical="center"/>
    </xf>
    <xf numFmtId="0" fontId="35" fillId="25" borderId="33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0" borderId="32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9" fontId="0" fillId="0" borderId="0" xfId="0" applyNumberFormat="1"/>
    <xf numFmtId="176" fontId="0" fillId="0" borderId="0" xfId="0" applyNumberForma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2" fillId="4" borderId="7" xfId="0" applyFont="1" applyFill="1" applyBorder="1" applyAlignment="1">
      <alignment horizontal="center" vertical="center" wrapText="1"/>
    </xf>
    <xf numFmtId="9" fontId="12" fillId="4" borderId="7" xfId="0" applyNumberFormat="1" applyFont="1" applyFill="1" applyBorder="1" applyAlignment="1">
      <alignment horizontal="center" vertical="center" wrapText="1"/>
    </xf>
    <xf numFmtId="0" fontId="13" fillId="0" borderId="5" xfId="0" applyFont="1" applyBorder="1"/>
    <xf numFmtId="0" fontId="11" fillId="0" borderId="1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0" fontId="12" fillId="4" borderId="12" xfId="0" applyFont="1" applyFill="1" applyBorder="1" applyAlignment="1">
      <alignment horizontal="center" vertical="center" wrapText="1"/>
    </xf>
    <xf numFmtId="9" fontId="12" fillId="4" borderId="12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2" fillId="4" borderId="16" xfId="0" applyFont="1" applyFill="1" applyBorder="1" applyAlignment="1">
      <alignment horizontal="center" vertical="center" wrapText="1"/>
    </xf>
    <xf numFmtId="9" fontId="12" fillId="4" borderId="16" xfId="0" applyNumberFormat="1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9" fontId="12" fillId="5" borderId="20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77" fontId="10" fillId="3" borderId="4" xfId="0" applyNumberFormat="1" applyFont="1" applyFill="1" applyBorder="1" applyAlignment="1">
      <alignment horizontal="center" vertical="center" wrapText="1"/>
    </xf>
    <xf numFmtId="177" fontId="10" fillId="3" borderId="7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76" fontId="12" fillId="6" borderId="7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176" fontId="12" fillId="6" borderId="12" xfId="0" applyNumberFormat="1" applyFont="1" applyFill="1" applyBorder="1" applyAlignment="1">
      <alignment horizontal="center" vertical="center" wrapText="1"/>
    </xf>
    <xf numFmtId="176" fontId="12" fillId="0" borderId="12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center" vertical="center" wrapText="1"/>
    </xf>
    <xf numFmtId="176" fontId="12" fillId="5" borderId="20" xfId="0" applyNumberFormat="1" applyFont="1" applyFill="1" applyBorder="1" applyAlignment="1">
      <alignment horizontal="center" vertical="center" wrapText="1"/>
    </xf>
    <xf numFmtId="176" fontId="15" fillId="0" borderId="0" xfId="0" applyNumberFormat="1" applyFont="1" applyAlignment="1">
      <alignment horizontal="center"/>
    </xf>
    <xf numFmtId="177" fontId="16" fillId="3" borderId="4" xfId="0" applyNumberFormat="1" applyFont="1" applyFill="1" applyBorder="1" applyAlignment="1">
      <alignment horizontal="center" vertical="center" wrapText="1"/>
    </xf>
    <xf numFmtId="177" fontId="16" fillId="3" borderId="7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177" fontId="10" fillId="3" borderId="21" xfId="0" applyNumberFormat="1" applyFont="1" applyFill="1" applyBorder="1" applyAlignment="1">
      <alignment horizontal="center" vertical="center" wrapText="1"/>
    </xf>
    <xf numFmtId="177" fontId="10" fillId="3" borderId="22" xfId="0" applyNumberFormat="1" applyFont="1" applyFill="1" applyBorder="1" applyAlignment="1">
      <alignment horizontal="center" vertical="center" wrapText="1"/>
    </xf>
    <xf numFmtId="176" fontId="12" fillId="0" borderId="22" xfId="0" applyNumberFormat="1" applyFont="1" applyBorder="1" applyAlignment="1">
      <alignment horizontal="center" vertical="center" wrapText="1"/>
    </xf>
    <xf numFmtId="176" fontId="12" fillId="0" borderId="23" xfId="0" applyNumberFormat="1" applyFont="1" applyBorder="1" applyAlignment="1">
      <alignment horizontal="center" vertical="center" wrapText="1"/>
    </xf>
    <xf numFmtId="176" fontId="12" fillId="0" borderId="24" xfId="0" applyNumberFormat="1" applyFont="1" applyBorder="1" applyAlignment="1">
      <alignment horizontal="center" vertical="center" wrapText="1"/>
    </xf>
    <xf numFmtId="176" fontId="12" fillId="5" borderId="25" xfId="0" applyNumberFormat="1" applyFont="1" applyFill="1" applyBorder="1" applyAlignment="1">
      <alignment horizontal="center" vertical="center" wrapText="1"/>
    </xf>
    <xf numFmtId="177" fontId="16" fillId="3" borderId="21" xfId="0" applyNumberFormat="1" applyFont="1" applyFill="1" applyBorder="1" applyAlignment="1">
      <alignment horizontal="center" vertical="center" wrapText="1"/>
    </xf>
    <xf numFmtId="177" fontId="16" fillId="3" borderId="2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51"/>
  <sheetViews>
    <sheetView showGridLines="0" tabSelected="1" zoomScale="104" zoomScaleNormal="104" workbookViewId="0">
      <pane xSplit="7" ySplit="5" topLeftCell="H39" activePane="bottomRight" state="frozen"/>
      <selection/>
      <selection pane="topRight"/>
      <selection pane="bottomLeft"/>
      <selection pane="bottomRight" activeCell="K10" sqref="K10"/>
    </sheetView>
  </sheetViews>
  <sheetFormatPr defaultColWidth="9" defaultRowHeight="13.8"/>
  <cols>
    <col min="1" max="1" width="3.58333333333333" customWidth="1"/>
    <col min="2" max="2" width="3.33333333333333" customWidth="1"/>
    <col min="3" max="3" width="3.58333333333333" customWidth="1"/>
    <col min="4" max="4" width="4.41666666666667" customWidth="1"/>
    <col min="5" max="5" width="3.16666666666667" customWidth="1"/>
    <col min="6" max="6" width="13.6666666666667" customWidth="1"/>
    <col min="7" max="7" width="9.16666666666667" customWidth="1"/>
    <col min="8" max="8" width="9.08333333333333" style="6" customWidth="1"/>
    <col min="9" max="9" width="11" customWidth="1"/>
    <col min="10" max="10" width="13.5833333333333" customWidth="1"/>
    <col min="12" max="12" width="9.58333333333333" style="7" customWidth="1"/>
    <col min="14" max="14" width="11.8333333333333" style="7" customWidth="1"/>
    <col min="15" max="15" width="8.83333333333333" customWidth="1"/>
    <col min="16" max="16" width="9.58333333333333" style="7" customWidth="1"/>
    <col min="18" max="18" width="9.58333333333333" style="7" customWidth="1"/>
    <col min="19" max="19" width="11.8333333333333" style="7" customWidth="1"/>
  </cols>
  <sheetData>
    <row r="1" ht="15.6" spans="2:10">
      <c r="B1" s="8"/>
      <c r="C1" s="8"/>
      <c r="D1" s="8"/>
      <c r="E1" s="8"/>
      <c r="F1" s="8"/>
      <c r="G1" s="8"/>
      <c r="H1" s="8"/>
      <c r="I1" s="8"/>
      <c r="J1" s="8"/>
    </row>
    <row r="2" s="1" customFormat="1" ht="27" customHeight="1" spans="2:19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ht="27" customHeight="1" spans="2:19"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="2" customFormat="1" ht="31.5" customHeight="1" spans="2:19">
      <c r="B4" s="12" t="s">
        <v>2</v>
      </c>
      <c r="C4" s="13"/>
      <c r="D4" s="13"/>
      <c r="E4" s="13"/>
      <c r="F4" s="14"/>
      <c r="G4" s="15" t="s">
        <v>3</v>
      </c>
      <c r="H4" s="15" t="s">
        <v>4</v>
      </c>
      <c r="I4" s="15" t="s">
        <v>5</v>
      </c>
      <c r="J4" s="15" t="s">
        <v>6</v>
      </c>
      <c r="K4" s="15" t="s">
        <v>7</v>
      </c>
      <c r="L4" s="15"/>
      <c r="M4" s="15" t="s">
        <v>8</v>
      </c>
      <c r="N4" s="15"/>
      <c r="O4" s="61" t="s">
        <v>9</v>
      </c>
      <c r="P4" s="61"/>
      <c r="Q4" s="15" t="s">
        <v>10</v>
      </c>
      <c r="R4" s="15"/>
      <c r="S4" s="77" t="s">
        <v>11</v>
      </c>
    </row>
    <row r="5" s="3" customFormat="1" ht="17.4" spans="2:19">
      <c r="B5" s="16"/>
      <c r="C5" s="17"/>
      <c r="D5" s="17"/>
      <c r="E5" s="17"/>
      <c r="F5" s="18"/>
      <c r="G5" s="19"/>
      <c r="H5" s="19"/>
      <c r="I5" s="19"/>
      <c r="J5" s="19" t="s">
        <v>12</v>
      </c>
      <c r="K5" s="19" t="s">
        <v>13</v>
      </c>
      <c r="L5" s="19" t="s">
        <v>12</v>
      </c>
      <c r="M5" s="19" t="s">
        <v>13</v>
      </c>
      <c r="N5" s="62" t="s">
        <v>12</v>
      </c>
      <c r="O5" s="62" t="s">
        <v>13</v>
      </c>
      <c r="P5" s="62" t="s">
        <v>12</v>
      </c>
      <c r="Q5" s="19" t="s">
        <v>13</v>
      </c>
      <c r="R5" s="19" t="s">
        <v>12</v>
      </c>
      <c r="S5" s="78"/>
    </row>
    <row r="6" ht="15" customHeight="1" spans="2:19">
      <c r="B6" s="20" t="s">
        <v>14</v>
      </c>
      <c r="C6" s="21"/>
      <c r="D6" s="21"/>
      <c r="E6" s="21"/>
      <c r="F6" s="22"/>
      <c r="G6" s="23">
        <v>1</v>
      </c>
      <c r="H6" s="24">
        <v>0.6</v>
      </c>
      <c r="I6" s="63">
        <f t="shared" ref="I6:I15" si="0">ROUND(21.75*12*G6*H6,0)</f>
        <v>157</v>
      </c>
      <c r="J6" s="64">
        <v>19625</v>
      </c>
      <c r="K6" s="23">
        <v>500</v>
      </c>
      <c r="L6" s="65">
        <f t="shared" ref="L6:L15" si="1">$I6*K6</f>
        <v>78500</v>
      </c>
      <c r="M6" s="23">
        <v>400</v>
      </c>
      <c r="N6" s="65">
        <f t="shared" ref="N6:N15" si="2">$I6*M6</f>
        <v>62800</v>
      </c>
      <c r="O6" s="23"/>
      <c r="P6" s="65">
        <f t="shared" ref="P6:P15" si="3">$I6*O6</f>
        <v>0</v>
      </c>
      <c r="Q6" s="23">
        <v>40</v>
      </c>
      <c r="R6" s="65">
        <f t="shared" ref="R6:R15" si="4">$I6*Q6</f>
        <v>6280</v>
      </c>
      <c r="S6" s="79">
        <f t="shared" ref="S6:S15" si="5">J6+L6+N6+P6+R6</f>
        <v>167205</v>
      </c>
    </row>
    <row r="7" ht="15.75" customHeight="1" spans="2:19">
      <c r="B7" s="25"/>
      <c r="C7" s="26" t="s">
        <v>15</v>
      </c>
      <c r="D7" s="27"/>
      <c r="E7" s="27"/>
      <c r="F7" s="28"/>
      <c r="G7" s="29">
        <v>1</v>
      </c>
      <c r="H7" s="30">
        <v>0.7</v>
      </c>
      <c r="I7" s="66">
        <f t="shared" si="0"/>
        <v>183</v>
      </c>
      <c r="J7" s="67">
        <v>22875</v>
      </c>
      <c r="K7" s="29">
        <v>300</v>
      </c>
      <c r="L7" s="68">
        <f t="shared" si="1"/>
        <v>54900</v>
      </c>
      <c r="M7" s="29">
        <v>300</v>
      </c>
      <c r="N7" s="68">
        <f t="shared" si="2"/>
        <v>54900</v>
      </c>
      <c r="O7" s="29"/>
      <c r="P7" s="68">
        <f t="shared" si="3"/>
        <v>0</v>
      </c>
      <c r="Q7" s="29">
        <v>40</v>
      </c>
      <c r="R7" s="68">
        <f t="shared" si="4"/>
        <v>7320</v>
      </c>
      <c r="S7" s="80">
        <f t="shared" si="5"/>
        <v>139995</v>
      </c>
    </row>
    <row r="8" ht="17.4" spans="2:19">
      <c r="B8" s="25"/>
      <c r="C8" s="31"/>
      <c r="D8" s="26" t="s">
        <v>16</v>
      </c>
      <c r="E8" s="27"/>
      <c r="F8" s="28"/>
      <c r="G8" s="29">
        <v>2</v>
      </c>
      <c r="H8" s="30">
        <v>0.85</v>
      </c>
      <c r="I8" s="66">
        <f t="shared" si="0"/>
        <v>444</v>
      </c>
      <c r="J8" s="67">
        <v>55500</v>
      </c>
      <c r="K8" s="29">
        <v>200</v>
      </c>
      <c r="L8" s="68">
        <f t="shared" si="1"/>
        <v>88800</v>
      </c>
      <c r="M8" s="29">
        <v>260</v>
      </c>
      <c r="N8" s="68">
        <f t="shared" si="2"/>
        <v>115440</v>
      </c>
      <c r="O8" s="29">
        <v>60</v>
      </c>
      <c r="P8" s="68">
        <f t="shared" si="3"/>
        <v>26640</v>
      </c>
      <c r="Q8" s="29">
        <v>40</v>
      </c>
      <c r="R8" s="68">
        <f t="shared" si="4"/>
        <v>17760</v>
      </c>
      <c r="S8" s="80">
        <f t="shared" si="5"/>
        <v>304140</v>
      </c>
    </row>
    <row r="9" ht="15.75" customHeight="1" spans="2:19">
      <c r="B9" s="25"/>
      <c r="C9" s="31"/>
      <c r="D9" s="27"/>
      <c r="E9" s="26" t="s">
        <v>17</v>
      </c>
      <c r="F9" s="28"/>
      <c r="G9" s="29">
        <v>1</v>
      </c>
      <c r="H9" s="30">
        <v>0.85</v>
      </c>
      <c r="I9" s="66">
        <f t="shared" si="0"/>
        <v>222</v>
      </c>
      <c r="J9" s="67">
        <v>27750</v>
      </c>
      <c r="K9" s="29">
        <v>100</v>
      </c>
      <c r="L9" s="68">
        <f t="shared" si="1"/>
        <v>22200</v>
      </c>
      <c r="M9" s="29">
        <v>200</v>
      </c>
      <c r="N9" s="68">
        <f t="shared" si="2"/>
        <v>44400</v>
      </c>
      <c r="O9" s="29">
        <v>60</v>
      </c>
      <c r="P9" s="68">
        <f t="shared" si="3"/>
        <v>13320</v>
      </c>
      <c r="Q9" s="29">
        <v>40</v>
      </c>
      <c r="R9" s="68">
        <f t="shared" si="4"/>
        <v>8880</v>
      </c>
      <c r="S9" s="80">
        <f t="shared" si="5"/>
        <v>116550</v>
      </c>
    </row>
    <row r="10" ht="17.65" customHeight="1" spans="2:19">
      <c r="B10" s="25"/>
      <c r="C10" s="31"/>
      <c r="D10" s="27"/>
      <c r="E10" s="26"/>
      <c r="F10" s="32" t="s">
        <v>18</v>
      </c>
      <c r="G10" s="29">
        <v>3</v>
      </c>
      <c r="H10" s="30">
        <v>0.85</v>
      </c>
      <c r="I10" s="66">
        <f t="shared" si="0"/>
        <v>666</v>
      </c>
      <c r="J10" s="67">
        <v>83250</v>
      </c>
      <c r="K10" s="29">
        <v>100</v>
      </c>
      <c r="L10" s="68">
        <f t="shared" si="1"/>
        <v>66600</v>
      </c>
      <c r="M10" s="29">
        <v>200</v>
      </c>
      <c r="N10" s="68">
        <f t="shared" si="2"/>
        <v>133200</v>
      </c>
      <c r="O10" s="29">
        <v>60</v>
      </c>
      <c r="P10" s="68">
        <f t="shared" si="3"/>
        <v>39960</v>
      </c>
      <c r="Q10" s="29">
        <v>40</v>
      </c>
      <c r="R10" s="68">
        <f t="shared" si="4"/>
        <v>26640</v>
      </c>
      <c r="S10" s="80">
        <f t="shared" si="5"/>
        <v>349650</v>
      </c>
    </row>
    <row r="11" ht="17.4" spans="2:19">
      <c r="B11" s="25"/>
      <c r="C11" s="31"/>
      <c r="D11" s="27"/>
      <c r="E11" s="26"/>
      <c r="F11" s="32" t="s">
        <v>19</v>
      </c>
      <c r="G11" s="29">
        <v>4</v>
      </c>
      <c r="H11" s="30">
        <v>0.85</v>
      </c>
      <c r="I11" s="66">
        <f t="shared" si="0"/>
        <v>887</v>
      </c>
      <c r="J11" s="67">
        <v>110875</v>
      </c>
      <c r="K11" s="29">
        <v>100</v>
      </c>
      <c r="L11" s="68">
        <f t="shared" si="1"/>
        <v>88700</v>
      </c>
      <c r="M11" s="29">
        <v>200</v>
      </c>
      <c r="N11" s="68">
        <f t="shared" si="2"/>
        <v>177400</v>
      </c>
      <c r="O11" s="29">
        <v>60</v>
      </c>
      <c r="P11" s="68">
        <f t="shared" si="3"/>
        <v>53220</v>
      </c>
      <c r="Q11" s="29">
        <v>40</v>
      </c>
      <c r="R11" s="68">
        <f t="shared" si="4"/>
        <v>35480</v>
      </c>
      <c r="S11" s="80">
        <f t="shared" si="5"/>
        <v>465675</v>
      </c>
    </row>
    <row r="12" ht="17.4" spans="2:19">
      <c r="B12" s="25"/>
      <c r="C12" s="31"/>
      <c r="D12" s="27"/>
      <c r="E12" s="26"/>
      <c r="F12" s="32" t="s">
        <v>20</v>
      </c>
      <c r="G12" s="29">
        <v>2</v>
      </c>
      <c r="H12" s="30">
        <v>0.85</v>
      </c>
      <c r="I12" s="66">
        <f t="shared" si="0"/>
        <v>444</v>
      </c>
      <c r="J12" s="67">
        <v>55500</v>
      </c>
      <c r="K12" s="29">
        <v>100</v>
      </c>
      <c r="L12" s="68">
        <f t="shared" si="1"/>
        <v>44400</v>
      </c>
      <c r="M12" s="29">
        <v>200</v>
      </c>
      <c r="N12" s="68">
        <f t="shared" si="2"/>
        <v>88800</v>
      </c>
      <c r="O12" s="29">
        <v>60</v>
      </c>
      <c r="P12" s="68">
        <f t="shared" si="3"/>
        <v>26640</v>
      </c>
      <c r="Q12" s="29">
        <v>40</v>
      </c>
      <c r="R12" s="68">
        <f t="shared" si="4"/>
        <v>17760</v>
      </c>
      <c r="S12" s="80">
        <f t="shared" si="5"/>
        <v>233100</v>
      </c>
    </row>
    <row r="13" ht="15.75" customHeight="1" spans="2:19">
      <c r="B13" s="25"/>
      <c r="C13" s="31"/>
      <c r="D13" s="27"/>
      <c r="E13" s="26" t="s">
        <v>17</v>
      </c>
      <c r="F13" s="28"/>
      <c r="G13" s="29">
        <v>1</v>
      </c>
      <c r="H13" s="30">
        <v>0.85</v>
      </c>
      <c r="I13" s="66">
        <f t="shared" si="0"/>
        <v>222</v>
      </c>
      <c r="J13" s="67">
        <v>27750</v>
      </c>
      <c r="K13" s="29">
        <v>100</v>
      </c>
      <c r="L13" s="68">
        <f t="shared" si="1"/>
        <v>22200</v>
      </c>
      <c r="M13" s="29">
        <v>200</v>
      </c>
      <c r="N13" s="68">
        <f t="shared" si="2"/>
        <v>44400</v>
      </c>
      <c r="O13" s="29">
        <v>60</v>
      </c>
      <c r="P13" s="68">
        <f t="shared" si="3"/>
        <v>13320</v>
      </c>
      <c r="Q13" s="29">
        <v>40</v>
      </c>
      <c r="R13" s="68">
        <f t="shared" si="4"/>
        <v>8880</v>
      </c>
      <c r="S13" s="80">
        <f t="shared" si="5"/>
        <v>116550</v>
      </c>
    </row>
    <row r="14" ht="17.4" spans="2:19">
      <c r="B14" s="25"/>
      <c r="C14" s="31"/>
      <c r="D14" s="27"/>
      <c r="E14" s="31"/>
      <c r="F14" s="32" t="s">
        <v>21</v>
      </c>
      <c r="G14" s="29">
        <v>3</v>
      </c>
      <c r="H14" s="30">
        <v>0.85</v>
      </c>
      <c r="I14" s="66">
        <f t="shared" si="0"/>
        <v>666</v>
      </c>
      <c r="J14" s="67">
        <v>83250</v>
      </c>
      <c r="K14" s="29">
        <v>100</v>
      </c>
      <c r="L14" s="68">
        <f t="shared" si="1"/>
        <v>66600</v>
      </c>
      <c r="M14" s="29">
        <v>200</v>
      </c>
      <c r="N14" s="68">
        <f t="shared" si="2"/>
        <v>133200</v>
      </c>
      <c r="O14" s="29">
        <v>60</v>
      </c>
      <c r="P14" s="68">
        <f t="shared" si="3"/>
        <v>39960</v>
      </c>
      <c r="Q14" s="29">
        <v>40</v>
      </c>
      <c r="R14" s="68">
        <f t="shared" si="4"/>
        <v>26640</v>
      </c>
      <c r="S14" s="80">
        <f t="shared" si="5"/>
        <v>349650</v>
      </c>
    </row>
    <row r="15" ht="17.4" spans="2:19">
      <c r="B15" s="25"/>
      <c r="C15" s="31"/>
      <c r="D15" s="27"/>
      <c r="E15" s="31"/>
      <c r="F15" s="32" t="s">
        <v>22</v>
      </c>
      <c r="G15" s="29">
        <v>2</v>
      </c>
      <c r="H15" s="30">
        <v>0.85</v>
      </c>
      <c r="I15" s="66">
        <f t="shared" si="0"/>
        <v>444</v>
      </c>
      <c r="J15" s="67">
        <v>55500</v>
      </c>
      <c r="K15" s="29">
        <v>100</v>
      </c>
      <c r="L15" s="68">
        <f t="shared" si="1"/>
        <v>44400</v>
      </c>
      <c r="M15" s="29">
        <v>200</v>
      </c>
      <c r="N15" s="68">
        <f t="shared" si="2"/>
        <v>88800</v>
      </c>
      <c r="O15" s="29">
        <v>60</v>
      </c>
      <c r="P15" s="68">
        <f t="shared" si="3"/>
        <v>26640</v>
      </c>
      <c r="Q15" s="29">
        <v>40</v>
      </c>
      <c r="R15" s="68">
        <f t="shared" si="4"/>
        <v>17760</v>
      </c>
      <c r="S15" s="80">
        <f t="shared" si="5"/>
        <v>233100</v>
      </c>
    </row>
    <row r="16" ht="17.4" spans="2:19">
      <c r="B16" s="33"/>
      <c r="C16" s="34"/>
      <c r="D16" s="34"/>
      <c r="E16" s="34"/>
      <c r="F16" s="35"/>
      <c r="G16" s="36"/>
      <c r="H16" s="37"/>
      <c r="I16" s="69"/>
      <c r="J16" s="70"/>
      <c r="K16" s="36"/>
      <c r="L16" s="71"/>
      <c r="M16" s="36"/>
      <c r="N16" s="71"/>
      <c r="O16" s="36"/>
      <c r="P16" s="71"/>
      <c r="Q16" s="36"/>
      <c r="R16" s="71"/>
      <c r="S16" s="81"/>
    </row>
    <row r="17" ht="15.5" customHeight="1" spans="2:19">
      <c r="B17" s="38" t="s">
        <v>23</v>
      </c>
      <c r="C17" s="39"/>
      <c r="D17" s="39"/>
      <c r="E17" s="39"/>
      <c r="F17" s="40"/>
      <c r="G17" s="41"/>
      <c r="H17" s="42"/>
      <c r="I17" s="41">
        <f>SUM(I6:I16)</f>
        <v>4335</v>
      </c>
      <c r="J17" s="72">
        <f>SUM(J6:J15)</f>
        <v>541875</v>
      </c>
      <c r="K17" s="41"/>
      <c r="L17" s="72">
        <f>SUM(L6:L15)</f>
        <v>577300</v>
      </c>
      <c r="M17" s="41"/>
      <c r="N17" s="72">
        <f>SUM(N6:N15)</f>
        <v>943340</v>
      </c>
      <c r="O17" s="41">
        <v>960</v>
      </c>
      <c r="P17" s="72">
        <f>SUM(P6:P15)</f>
        <v>239700</v>
      </c>
      <c r="Q17" s="41"/>
      <c r="R17" s="72">
        <f>SUM(R6:R15)</f>
        <v>173400</v>
      </c>
      <c r="S17" s="82">
        <f>SUM(S6:S15)</f>
        <v>2475615</v>
      </c>
    </row>
    <row r="18" spans="2:19">
      <c r="B18" s="43"/>
      <c r="C18" s="43"/>
      <c r="D18" s="43"/>
      <c r="E18" s="43"/>
      <c r="F18" s="43"/>
      <c r="G18" s="44"/>
      <c r="H18" s="45"/>
      <c r="I18" s="44"/>
      <c r="J18" s="44"/>
      <c r="K18" s="44"/>
      <c r="L18" s="73"/>
      <c r="M18" s="44"/>
      <c r="N18" s="73"/>
      <c r="O18" s="44"/>
      <c r="P18" s="73"/>
      <c r="Q18" s="44"/>
      <c r="R18" s="73"/>
      <c r="S18" s="73"/>
    </row>
    <row r="19" ht="27" customHeight="1" spans="2:19">
      <c r="B19" s="10" t="s">
        <v>24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4" customFormat="1" ht="31.5" customHeight="1" spans="2:19">
      <c r="B20" s="46" t="s">
        <v>2</v>
      </c>
      <c r="C20" s="47"/>
      <c r="D20" s="47"/>
      <c r="E20" s="47"/>
      <c r="F20" s="48"/>
      <c r="G20" s="49" t="s">
        <v>3</v>
      </c>
      <c r="H20" s="49" t="s">
        <v>4</v>
      </c>
      <c r="I20" s="49" t="s">
        <v>5</v>
      </c>
      <c r="J20" s="49" t="s">
        <v>6</v>
      </c>
      <c r="K20" s="49" t="s">
        <v>7</v>
      </c>
      <c r="L20" s="49"/>
      <c r="M20" s="49" t="s">
        <v>8</v>
      </c>
      <c r="N20" s="49"/>
      <c r="O20" s="74" t="s">
        <v>9</v>
      </c>
      <c r="P20" s="74"/>
      <c r="Q20" s="49" t="s">
        <v>10</v>
      </c>
      <c r="R20" s="49"/>
      <c r="S20" s="83" t="s">
        <v>11</v>
      </c>
    </row>
    <row r="21" s="5" customFormat="1" ht="17.4" spans="2:19">
      <c r="B21" s="50"/>
      <c r="C21" s="51"/>
      <c r="D21" s="51"/>
      <c r="E21" s="51"/>
      <c r="F21" s="52"/>
      <c r="G21" s="53"/>
      <c r="H21" s="53"/>
      <c r="I21" s="53"/>
      <c r="J21" s="53" t="s">
        <v>12</v>
      </c>
      <c r="K21" s="53" t="s">
        <v>13</v>
      </c>
      <c r="L21" s="53" t="s">
        <v>12</v>
      </c>
      <c r="M21" s="53" t="s">
        <v>13</v>
      </c>
      <c r="N21" s="75" t="s">
        <v>12</v>
      </c>
      <c r="O21" s="75" t="s">
        <v>13</v>
      </c>
      <c r="P21" s="75" t="s">
        <v>12</v>
      </c>
      <c r="Q21" s="53" t="s">
        <v>13</v>
      </c>
      <c r="R21" s="53" t="s">
        <v>12</v>
      </c>
      <c r="S21" s="84"/>
    </row>
    <row r="22" ht="15" customHeight="1" spans="2:19">
      <c r="B22" s="20" t="s">
        <v>14</v>
      </c>
      <c r="C22" s="21"/>
      <c r="D22" s="21"/>
      <c r="E22" s="21"/>
      <c r="F22" s="22"/>
      <c r="G22" s="23">
        <v>1</v>
      </c>
      <c r="H22" s="24">
        <v>0.6</v>
      </c>
      <c r="I22" s="63">
        <f t="shared" ref="I22:I31" si="6">ROUND(21.75*12*G22*H22,0)</f>
        <v>157</v>
      </c>
      <c r="J22" s="64">
        <v>19625</v>
      </c>
      <c r="K22" s="23">
        <v>500</v>
      </c>
      <c r="L22" s="65">
        <f t="shared" ref="L22:L31" si="7">$I22*K22</f>
        <v>78500</v>
      </c>
      <c r="M22" s="23">
        <v>400</v>
      </c>
      <c r="N22" s="65">
        <f t="shared" ref="N22:N31" si="8">$I22*M22</f>
        <v>62800</v>
      </c>
      <c r="O22" s="23"/>
      <c r="P22" s="65">
        <f t="shared" ref="P22:P31" si="9">$I22*O22</f>
        <v>0</v>
      </c>
      <c r="Q22" s="23">
        <v>40</v>
      </c>
      <c r="R22" s="65">
        <f t="shared" ref="R22:R31" si="10">$I22*Q22</f>
        <v>6280</v>
      </c>
      <c r="S22" s="79">
        <f t="shared" ref="S22:S31" si="11">J22+L22+N22+P22+R22</f>
        <v>167205</v>
      </c>
    </row>
    <row r="23" ht="15.75" customHeight="1" spans="2:19">
      <c r="B23" s="25"/>
      <c r="C23" s="26" t="s">
        <v>15</v>
      </c>
      <c r="D23" s="27"/>
      <c r="E23" s="27"/>
      <c r="F23" s="28"/>
      <c r="G23" s="29">
        <v>1</v>
      </c>
      <c r="H23" s="30">
        <v>0.7</v>
      </c>
      <c r="I23" s="66">
        <f t="shared" si="6"/>
        <v>183</v>
      </c>
      <c r="J23" s="67">
        <v>22875</v>
      </c>
      <c r="K23" s="29">
        <v>300</v>
      </c>
      <c r="L23" s="68">
        <f t="shared" si="7"/>
        <v>54900</v>
      </c>
      <c r="M23" s="29">
        <v>300</v>
      </c>
      <c r="N23" s="68">
        <f t="shared" si="8"/>
        <v>54900</v>
      </c>
      <c r="O23" s="29"/>
      <c r="P23" s="68">
        <f t="shared" si="9"/>
        <v>0</v>
      </c>
      <c r="Q23" s="29">
        <v>40</v>
      </c>
      <c r="R23" s="68">
        <f t="shared" si="10"/>
        <v>7320</v>
      </c>
      <c r="S23" s="80">
        <f t="shared" si="11"/>
        <v>139995</v>
      </c>
    </row>
    <row r="24" ht="17.4" spans="2:19">
      <c r="B24" s="25"/>
      <c r="C24" s="31"/>
      <c r="D24" s="26" t="s">
        <v>16</v>
      </c>
      <c r="E24" s="27"/>
      <c r="F24" s="28"/>
      <c r="G24" s="29">
        <v>2</v>
      </c>
      <c r="H24" s="30">
        <v>1</v>
      </c>
      <c r="I24" s="66">
        <f t="shared" si="6"/>
        <v>522</v>
      </c>
      <c r="J24" s="67">
        <v>55500</v>
      </c>
      <c r="K24" s="29">
        <v>200</v>
      </c>
      <c r="L24" s="68">
        <f t="shared" si="7"/>
        <v>104400</v>
      </c>
      <c r="M24" s="29">
        <v>260</v>
      </c>
      <c r="N24" s="68">
        <f t="shared" si="8"/>
        <v>135720</v>
      </c>
      <c r="O24" s="29">
        <v>60</v>
      </c>
      <c r="P24" s="68">
        <f t="shared" si="9"/>
        <v>31320</v>
      </c>
      <c r="Q24" s="29">
        <v>40</v>
      </c>
      <c r="R24" s="68">
        <f t="shared" si="10"/>
        <v>20880</v>
      </c>
      <c r="S24" s="80">
        <f t="shared" si="11"/>
        <v>347820</v>
      </c>
    </row>
    <row r="25" ht="15.75" customHeight="1" spans="2:19">
      <c r="B25" s="25"/>
      <c r="C25" s="31"/>
      <c r="D25" s="27"/>
      <c r="E25" s="26" t="s">
        <v>17</v>
      </c>
      <c r="F25" s="28"/>
      <c r="G25" s="29">
        <v>1</v>
      </c>
      <c r="H25" s="30">
        <v>1</v>
      </c>
      <c r="I25" s="66">
        <f t="shared" si="6"/>
        <v>261</v>
      </c>
      <c r="J25" s="67">
        <v>27750</v>
      </c>
      <c r="K25" s="29">
        <v>100</v>
      </c>
      <c r="L25" s="68">
        <f t="shared" si="7"/>
        <v>26100</v>
      </c>
      <c r="M25" s="29">
        <v>200</v>
      </c>
      <c r="N25" s="68">
        <f t="shared" si="8"/>
        <v>52200</v>
      </c>
      <c r="O25" s="29">
        <v>60</v>
      </c>
      <c r="P25" s="68">
        <f t="shared" si="9"/>
        <v>15660</v>
      </c>
      <c r="Q25" s="29">
        <v>40</v>
      </c>
      <c r="R25" s="68">
        <f t="shared" si="10"/>
        <v>10440</v>
      </c>
      <c r="S25" s="80">
        <f t="shared" si="11"/>
        <v>132150</v>
      </c>
    </row>
    <row r="26" ht="17.65" customHeight="1" spans="2:19">
      <c r="B26" s="25"/>
      <c r="C26" s="31"/>
      <c r="D26" s="27"/>
      <c r="E26" s="26"/>
      <c r="F26" s="32" t="s">
        <v>18</v>
      </c>
      <c r="G26" s="29">
        <v>3</v>
      </c>
      <c r="H26" s="30">
        <v>1</v>
      </c>
      <c r="I26" s="66">
        <f t="shared" si="6"/>
        <v>783</v>
      </c>
      <c r="J26" s="67">
        <v>83250</v>
      </c>
      <c r="K26" s="29">
        <v>100</v>
      </c>
      <c r="L26" s="68">
        <f t="shared" si="7"/>
        <v>78300</v>
      </c>
      <c r="M26" s="29">
        <v>200</v>
      </c>
      <c r="N26" s="68">
        <f t="shared" si="8"/>
        <v>156600</v>
      </c>
      <c r="O26" s="29">
        <v>60</v>
      </c>
      <c r="P26" s="68">
        <f t="shared" si="9"/>
        <v>46980</v>
      </c>
      <c r="Q26" s="29">
        <v>40</v>
      </c>
      <c r="R26" s="68">
        <f t="shared" si="10"/>
        <v>31320</v>
      </c>
      <c r="S26" s="80">
        <f t="shared" si="11"/>
        <v>396450</v>
      </c>
    </row>
    <row r="27" ht="17.4" spans="2:19">
      <c r="B27" s="25"/>
      <c r="C27" s="31"/>
      <c r="D27" s="27"/>
      <c r="E27" s="26"/>
      <c r="F27" s="32" t="s">
        <v>19</v>
      </c>
      <c r="G27" s="29">
        <v>4</v>
      </c>
      <c r="H27" s="30">
        <v>1</v>
      </c>
      <c r="I27" s="66">
        <f t="shared" si="6"/>
        <v>1044</v>
      </c>
      <c r="J27" s="67">
        <v>110875</v>
      </c>
      <c r="K27" s="29">
        <v>100</v>
      </c>
      <c r="L27" s="68">
        <f t="shared" si="7"/>
        <v>104400</v>
      </c>
      <c r="M27" s="29">
        <v>200</v>
      </c>
      <c r="N27" s="68">
        <f t="shared" si="8"/>
        <v>208800</v>
      </c>
      <c r="O27" s="29">
        <v>60</v>
      </c>
      <c r="P27" s="68">
        <f t="shared" si="9"/>
        <v>62640</v>
      </c>
      <c r="Q27" s="29">
        <v>40</v>
      </c>
      <c r="R27" s="68">
        <f t="shared" si="10"/>
        <v>41760</v>
      </c>
      <c r="S27" s="80">
        <f t="shared" si="11"/>
        <v>528475</v>
      </c>
    </row>
    <row r="28" ht="17.4" spans="2:19">
      <c r="B28" s="25"/>
      <c r="C28" s="31"/>
      <c r="D28" s="27"/>
      <c r="E28" s="26"/>
      <c r="F28" s="32" t="s">
        <v>20</v>
      </c>
      <c r="G28" s="29">
        <v>2</v>
      </c>
      <c r="H28" s="30">
        <v>1</v>
      </c>
      <c r="I28" s="66">
        <f t="shared" si="6"/>
        <v>522</v>
      </c>
      <c r="J28" s="67">
        <v>55500</v>
      </c>
      <c r="K28" s="29">
        <v>100</v>
      </c>
      <c r="L28" s="68">
        <f t="shared" si="7"/>
        <v>52200</v>
      </c>
      <c r="M28" s="29">
        <v>200</v>
      </c>
      <c r="N28" s="68">
        <f t="shared" si="8"/>
        <v>104400</v>
      </c>
      <c r="O28" s="29">
        <v>60</v>
      </c>
      <c r="P28" s="68">
        <f t="shared" si="9"/>
        <v>31320</v>
      </c>
      <c r="Q28" s="29">
        <v>40</v>
      </c>
      <c r="R28" s="68">
        <f t="shared" si="10"/>
        <v>20880</v>
      </c>
      <c r="S28" s="80">
        <f t="shared" si="11"/>
        <v>264300</v>
      </c>
    </row>
    <row r="29" ht="15.75" customHeight="1" spans="2:19">
      <c r="B29" s="25"/>
      <c r="C29" s="31"/>
      <c r="D29" s="27"/>
      <c r="E29" s="26" t="s">
        <v>17</v>
      </c>
      <c r="F29" s="28"/>
      <c r="G29" s="29">
        <v>1</v>
      </c>
      <c r="H29" s="30">
        <v>1</v>
      </c>
      <c r="I29" s="66">
        <f t="shared" si="6"/>
        <v>261</v>
      </c>
      <c r="J29" s="67">
        <v>27750</v>
      </c>
      <c r="K29" s="29">
        <v>100</v>
      </c>
      <c r="L29" s="68">
        <f t="shared" si="7"/>
        <v>26100</v>
      </c>
      <c r="M29" s="29">
        <v>200</v>
      </c>
      <c r="N29" s="68">
        <f t="shared" si="8"/>
        <v>52200</v>
      </c>
      <c r="O29" s="29">
        <v>60</v>
      </c>
      <c r="P29" s="68">
        <f t="shared" si="9"/>
        <v>15660</v>
      </c>
      <c r="Q29" s="29">
        <v>40</v>
      </c>
      <c r="R29" s="68">
        <f t="shared" si="10"/>
        <v>10440</v>
      </c>
      <c r="S29" s="80">
        <f t="shared" si="11"/>
        <v>132150</v>
      </c>
    </row>
    <row r="30" ht="17.4" spans="2:19">
      <c r="B30" s="25"/>
      <c r="C30" s="31"/>
      <c r="D30" s="27"/>
      <c r="E30" s="31"/>
      <c r="F30" s="32" t="s">
        <v>21</v>
      </c>
      <c r="G30" s="29">
        <v>3</v>
      </c>
      <c r="H30" s="30">
        <v>1</v>
      </c>
      <c r="I30" s="66">
        <f t="shared" si="6"/>
        <v>783</v>
      </c>
      <c r="J30" s="67">
        <v>83250</v>
      </c>
      <c r="K30" s="29">
        <v>100</v>
      </c>
      <c r="L30" s="68">
        <f t="shared" si="7"/>
        <v>78300</v>
      </c>
      <c r="M30" s="29">
        <v>200</v>
      </c>
      <c r="N30" s="68">
        <f t="shared" si="8"/>
        <v>156600</v>
      </c>
      <c r="O30" s="29">
        <v>60</v>
      </c>
      <c r="P30" s="68">
        <f t="shared" si="9"/>
        <v>46980</v>
      </c>
      <c r="Q30" s="29">
        <v>40</v>
      </c>
      <c r="R30" s="68">
        <f t="shared" si="10"/>
        <v>31320</v>
      </c>
      <c r="S30" s="80">
        <f t="shared" si="11"/>
        <v>396450</v>
      </c>
    </row>
    <row r="31" ht="17.4" spans="2:19">
      <c r="B31" s="25"/>
      <c r="C31" s="31"/>
      <c r="D31" s="27"/>
      <c r="E31" s="31"/>
      <c r="F31" s="32" t="s">
        <v>22</v>
      </c>
      <c r="G31" s="29">
        <v>2</v>
      </c>
      <c r="H31" s="30">
        <v>1</v>
      </c>
      <c r="I31" s="66">
        <f t="shared" si="6"/>
        <v>522</v>
      </c>
      <c r="J31" s="67">
        <v>55500</v>
      </c>
      <c r="K31" s="29">
        <v>100</v>
      </c>
      <c r="L31" s="68">
        <f t="shared" si="7"/>
        <v>52200</v>
      </c>
      <c r="M31" s="29">
        <v>200</v>
      </c>
      <c r="N31" s="68">
        <f t="shared" si="8"/>
        <v>104400</v>
      </c>
      <c r="O31" s="29">
        <v>60</v>
      </c>
      <c r="P31" s="68">
        <f t="shared" si="9"/>
        <v>31320</v>
      </c>
      <c r="Q31" s="29">
        <v>40</v>
      </c>
      <c r="R31" s="68">
        <f t="shared" si="10"/>
        <v>20880</v>
      </c>
      <c r="S31" s="80">
        <f t="shared" si="11"/>
        <v>264300</v>
      </c>
    </row>
    <row r="32" ht="17.4" spans="2:19">
      <c r="B32" s="33"/>
      <c r="C32" s="34"/>
      <c r="D32" s="34"/>
      <c r="E32" s="34"/>
      <c r="F32" s="35"/>
      <c r="G32" s="36"/>
      <c r="H32" s="37"/>
      <c r="I32" s="69"/>
      <c r="J32" s="70"/>
      <c r="K32" s="36"/>
      <c r="L32" s="71"/>
      <c r="M32" s="36"/>
      <c r="N32" s="71"/>
      <c r="O32" s="36"/>
      <c r="P32" s="71"/>
      <c r="Q32" s="36"/>
      <c r="R32" s="71"/>
      <c r="S32" s="81"/>
    </row>
    <row r="33" ht="15.5" customHeight="1" spans="2:19">
      <c r="B33" s="54" t="s">
        <v>23</v>
      </c>
      <c r="C33" s="55"/>
      <c r="D33" s="55"/>
      <c r="E33" s="55"/>
      <c r="F33" s="56"/>
      <c r="G33" s="41"/>
      <c r="H33" s="42"/>
      <c r="I33" s="41">
        <f>SUM(I22:I32)</f>
        <v>5038</v>
      </c>
      <c r="J33" s="72">
        <f>SUM(J22:J31)</f>
        <v>541875</v>
      </c>
      <c r="K33" s="41"/>
      <c r="L33" s="72">
        <f>SUM(L22:L31)</f>
        <v>655400</v>
      </c>
      <c r="M33" s="41"/>
      <c r="N33" s="72">
        <f>SUM(N22:N31)</f>
        <v>1088620</v>
      </c>
      <c r="O33" s="41">
        <v>960</v>
      </c>
      <c r="P33" s="72">
        <f>SUM(P22:P31)</f>
        <v>281880</v>
      </c>
      <c r="Q33" s="41"/>
      <c r="R33" s="72">
        <f>SUM(R22:R31)</f>
        <v>201520</v>
      </c>
      <c r="S33" s="82">
        <f>SUM(S22:S31)</f>
        <v>2769295</v>
      </c>
    </row>
    <row r="34" spans="2:19">
      <c r="B34" s="43"/>
      <c r="C34" s="43"/>
      <c r="D34" s="43"/>
      <c r="E34" s="43"/>
      <c r="F34" s="43"/>
      <c r="G34" s="44"/>
      <c r="H34" s="45"/>
      <c r="I34" s="44"/>
      <c r="J34" s="44"/>
      <c r="K34" s="44"/>
      <c r="L34" s="73"/>
      <c r="M34" s="44"/>
      <c r="N34" s="73"/>
      <c r="O34" s="44"/>
      <c r="P34" s="73"/>
      <c r="Q34" s="44"/>
      <c r="R34" s="73"/>
      <c r="S34" s="73"/>
    </row>
    <row r="35" spans="7:19">
      <c r="G35" s="57"/>
      <c r="H35" s="58"/>
      <c r="I35" s="57"/>
      <c r="J35" s="57"/>
      <c r="K35" s="57"/>
      <c r="L35" s="76"/>
      <c r="M35" s="57"/>
      <c r="N35" s="76"/>
      <c r="O35" s="57"/>
      <c r="P35" s="76"/>
      <c r="Q35" s="57"/>
      <c r="R35" s="76"/>
      <c r="S35" s="76"/>
    </row>
    <row r="36" spans="2:19">
      <c r="B36" t="s">
        <v>25</v>
      </c>
      <c r="G36" s="57"/>
      <c r="H36" s="58"/>
      <c r="I36" s="57"/>
      <c r="J36" s="57"/>
      <c r="K36" s="57"/>
      <c r="L36" s="76"/>
      <c r="M36" s="57"/>
      <c r="N36" s="76"/>
      <c r="O36" s="57"/>
      <c r="P36" s="76"/>
      <c r="Q36" s="57"/>
      <c r="R36" s="76"/>
      <c r="S36" s="76"/>
    </row>
    <row r="37" spans="2:19">
      <c r="B37" t="s">
        <v>26</v>
      </c>
      <c r="G37" s="57"/>
      <c r="H37" s="58"/>
      <c r="I37" s="57"/>
      <c r="J37" s="57"/>
      <c r="K37" s="57"/>
      <c r="L37" s="76"/>
      <c r="M37" s="57"/>
      <c r="N37" s="76"/>
      <c r="O37" s="57"/>
      <c r="P37" s="76"/>
      <c r="Q37" s="57"/>
      <c r="R37" s="76"/>
      <c r="S37" s="76"/>
    </row>
    <row r="38" spans="2:19">
      <c r="B38" t="s">
        <v>27</v>
      </c>
      <c r="G38" s="57"/>
      <c r="H38" s="58"/>
      <c r="I38" s="57"/>
      <c r="J38" s="57"/>
      <c r="K38" s="57"/>
      <c r="L38" s="76"/>
      <c r="M38" s="57"/>
      <c r="N38" s="76"/>
      <c r="O38" s="57"/>
      <c r="P38" s="76"/>
      <c r="Q38" s="57"/>
      <c r="R38" s="76"/>
      <c r="S38" s="76"/>
    </row>
    <row r="39" spans="2:19">
      <c r="B39" t="s">
        <v>28</v>
      </c>
      <c r="G39" s="57"/>
      <c r="H39" s="58"/>
      <c r="I39" s="57"/>
      <c r="J39" s="57"/>
      <c r="K39" s="57"/>
      <c r="L39" s="76"/>
      <c r="M39" s="57"/>
      <c r="N39" s="76"/>
      <c r="O39" s="57"/>
      <c r="P39" s="76"/>
      <c r="Q39" s="57"/>
      <c r="R39" s="76"/>
      <c r="S39" s="76"/>
    </row>
    <row r="40" spans="2:19">
      <c r="B40" t="s">
        <v>29</v>
      </c>
      <c r="G40" s="57"/>
      <c r="H40" s="58"/>
      <c r="I40" s="57"/>
      <c r="J40" s="57"/>
      <c r="K40" s="57"/>
      <c r="L40" s="76"/>
      <c r="M40" s="57"/>
      <c r="N40" s="76"/>
      <c r="O40" s="57"/>
      <c r="P40" s="76"/>
      <c r="Q40" s="57"/>
      <c r="R40" s="76"/>
      <c r="S40" s="76"/>
    </row>
    <row r="41" spans="2:19">
      <c r="B41" t="s">
        <v>30</v>
      </c>
      <c r="G41" s="57"/>
      <c r="H41" s="58"/>
      <c r="I41" s="57"/>
      <c r="J41" s="57"/>
      <c r="K41" s="57"/>
      <c r="L41" s="76"/>
      <c r="M41" s="57"/>
      <c r="N41" s="76"/>
      <c r="O41" s="57"/>
      <c r="P41" s="76"/>
      <c r="Q41" s="57"/>
      <c r="R41" s="76"/>
      <c r="S41" s="76"/>
    </row>
    <row r="42" spans="3:3">
      <c r="C42" t="s">
        <v>31</v>
      </c>
    </row>
    <row r="43" spans="3:3">
      <c r="C43" t="s">
        <v>32</v>
      </c>
    </row>
    <row r="44" spans="3:3">
      <c r="C44" t="s">
        <v>33</v>
      </c>
    </row>
    <row r="45" spans="3:3">
      <c r="C45" t="s">
        <v>34</v>
      </c>
    </row>
    <row r="46" spans="3:3">
      <c r="C46" t="s">
        <v>35</v>
      </c>
    </row>
    <row r="47" spans="3:3">
      <c r="C47" t="s">
        <v>36</v>
      </c>
    </row>
    <row r="48" spans="2:19">
      <c r="B48" t="s">
        <v>37</v>
      </c>
      <c r="G48" s="57"/>
      <c r="H48" s="58"/>
      <c r="I48" s="57"/>
      <c r="J48" s="57"/>
      <c r="K48" s="57"/>
      <c r="L48" s="76"/>
      <c r="M48" s="57"/>
      <c r="N48" s="76"/>
      <c r="O48" s="57"/>
      <c r="P48" s="76"/>
      <c r="Q48" s="57"/>
      <c r="R48" s="76"/>
      <c r="S48" s="76"/>
    </row>
    <row r="49" spans="2:19">
      <c r="B49" t="s">
        <v>38</v>
      </c>
      <c r="C49" s="59"/>
      <c r="G49" s="57"/>
      <c r="H49" s="58"/>
      <c r="I49" s="57"/>
      <c r="J49" s="57"/>
      <c r="K49" s="57"/>
      <c r="L49" s="76"/>
      <c r="M49" s="57"/>
      <c r="N49" s="76"/>
      <c r="O49" s="57"/>
      <c r="P49" s="76"/>
      <c r="Q49" s="57"/>
      <c r="R49" s="76"/>
      <c r="S49" s="76"/>
    </row>
    <row r="50" spans="3:19">
      <c r="C50" s="59"/>
      <c r="G50" s="57"/>
      <c r="H50" s="58"/>
      <c r="I50" s="57"/>
      <c r="J50" s="57"/>
      <c r="K50" s="57"/>
      <c r="L50" s="76"/>
      <c r="M50" s="57"/>
      <c r="N50" s="76"/>
      <c r="O50" s="57"/>
      <c r="P50" s="76"/>
      <c r="Q50" s="57"/>
      <c r="R50" s="76"/>
      <c r="S50" s="76"/>
    </row>
    <row r="51" ht="409.5" customHeight="1" spans="2:19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</row>
  </sheetData>
  <mergeCells count="22">
    <mergeCell ref="B2:S2"/>
    <mergeCell ref="K4:L4"/>
    <mergeCell ref="M4:N4"/>
    <mergeCell ref="O4:P4"/>
    <mergeCell ref="Q4:R4"/>
    <mergeCell ref="B17:F17"/>
    <mergeCell ref="K20:L20"/>
    <mergeCell ref="M20:N20"/>
    <mergeCell ref="O20:P20"/>
    <mergeCell ref="Q20:R20"/>
    <mergeCell ref="B33:F33"/>
    <mergeCell ref="B51:S51"/>
    <mergeCell ref="G4:G5"/>
    <mergeCell ref="G20:G21"/>
    <mergeCell ref="H4:H5"/>
    <mergeCell ref="H20:H21"/>
    <mergeCell ref="I4:I5"/>
    <mergeCell ref="I20:I21"/>
    <mergeCell ref="S4:S5"/>
    <mergeCell ref="S20:S21"/>
    <mergeCell ref="B4:F5"/>
    <mergeCell ref="B20:F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差旅费预算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2021-09-22T08:23:00Z</dcterms:created>
  <dcterms:modified xsi:type="dcterms:W3CDTF">2021-11-21T17:09:15Z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3674D736A3CB4E7FB5BA8324B526395B</vt:lpwstr>
  </property>
  <property fmtid="{D5CDD505-2E9C-101B-9397-08002B2CF9AE}" pid="3" name="KSOProductBuildVer">
    <vt:lpwstr>2052-11.1.0.11045</vt:lpwstr>
  </property>
</Properties>
</file>